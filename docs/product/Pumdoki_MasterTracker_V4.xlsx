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9252e5f25347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2e2c5b5ac1b4d7e"/>
    <x:sheet xmlns:r="http://schemas.openxmlformats.org/officeDocument/2006/relationships" name="Master Tracker" sheetId="2" r:id="R30bf9d4c2b7040a9"/>
    <x:sheet xmlns:r="http://schemas.openxmlformats.org/officeDocument/2006/relationships" name="Backlog" sheetId="3" r:id="R6f93f56df0fd4ff1"/>
    <x:sheet xmlns:r="http://schemas.openxmlformats.org/officeDocument/2006/relationships" name="Notes &amp; Assumptions" sheetId="4" r:id="Re521642b14464a8d"/>
    <x:sheet xmlns:r="http://schemas.openxmlformats.org/officeDocument/2006/relationships" name="💸 Expense Tracker" sheetId="5" r:id="R8365b901f1604472"/>
    <x:sheet xmlns:r="http://schemas.openxmlformats.org/officeDocument/2006/relationships" name="Legacy Overview 2026-08-16" sheetId="6" r:id="Rc70cd342071647eb"/>
    <x:sheet xmlns:r="http://schemas.openxmlformats.org/officeDocument/2006/relationships" name="Controls" sheetId="7" r:id="R80e8838af68d49d7"/>
    <x:sheet xmlns:r="http://schemas.openxmlformats.org/officeDocument/2006/relationships" name="Phase Roadmap" sheetId="8" r:id="Rd7f006c4824a4aec"/>
    <x:sheet xmlns:r="http://schemas.openxmlformats.org/officeDocument/2006/relationships" name="Delivery Tracker" sheetId="9" r:id="Rd8a4c6d6313d4495"/>
    <x:sheet xmlns:r="http://schemas.openxmlformats.org/officeDocument/2006/relationships" name="Review &amp; Blocker Queue" sheetId="10" r:id="R782ce6d6a0d54a1c"/>
    <x:sheet xmlns:r="http://schemas.openxmlformats.org/officeDocument/2006/relationships" name="Daily Log" sheetId="11" r:id="R7aa2384c19104e32"/>
    <x:sheet xmlns:r="http://schemas.openxmlformats.org/officeDocument/2006/relationships" name="Decision Register" sheetId="12" r:id="R53c371dadb354279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<x:sst xmlns:x="http://schemas.openxmlformats.org/spreadsheetml/2006/main">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</x:sst>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3">
    <x:numFmt numFmtId="164" formatCode="0.0%"/>
    <x:numFmt numFmtId="165" formatCode="\$#,##0"/>
    <x:numFmt numFmtId="200" formatCode="yyyy-mm-dd"/>
  </x:numFmts>
  <x:fonts count="25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</x:fonts>
  <x:fills count="14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164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10" borderId="0" xfId="0" applyNumberFormat="1" applyFont="1" applyFill="1" applyBorder="1" applyAlignment="1">
      <x:alignment vertical="bottom" wrapText="0"/>
    </x:xf>
    <x:xf numFmtId="0" fontId="23" fillId="10" borderId="0" xfId="0" applyNumberFormat="1" applyFont="1" applyFill="1" applyBorder="1" applyAlignment="1">
      <x:alignment vertical="bottom" wrapText="1"/>
    </x:xf>
    <x:xf numFmtId="0" fontId="23" fillId="10" borderId="0" xfId="0" applyNumberFormat="1" applyFont="1" applyFill="1" applyBorder="1" applyAlignment="1">
      <x:alignment vertical="center" wrapText="1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</x:cellXfs>
  <x:cellStyles count="1">
    <x:cellStyle name="Normal" xfId="0"/>
  </x:cellStyles>
  <x:dxfs count="34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1da78864904d4b" /><Relationship Type="http://schemas.openxmlformats.org/officeDocument/2006/relationships/theme" Target="/xl/theme/theme1.xml" Id="Ra025c3d785984dd9" /><Relationship Type="http://schemas.openxmlformats.org/officeDocument/2006/relationships/sharedStrings" Target="/xl/sharedStrings.xml" Id="R11dc92ada40d42ee" /><Relationship Type="http://schemas.openxmlformats.org/officeDocument/2006/relationships/worksheet" Target="/xl/worksheets/sheet1.xml" Id="R12e2c5b5ac1b4d7e" /><Relationship Type="http://schemas.openxmlformats.org/officeDocument/2006/relationships/worksheet" Target="/xl/worksheets/sheet2.xml" Id="R30bf9d4c2b7040a9" /><Relationship Type="http://schemas.openxmlformats.org/officeDocument/2006/relationships/worksheet" Target="/xl/worksheets/sheet3.xml" Id="R6f93f56df0fd4ff1" /><Relationship Type="http://schemas.openxmlformats.org/officeDocument/2006/relationships/worksheet" Target="/xl/worksheets/sheet4.xml" Id="Re521642b14464a8d" /><Relationship Type="http://schemas.openxmlformats.org/officeDocument/2006/relationships/worksheet" Target="/xl/worksheets/sheet5.xml" Id="R8365b901f1604472" /><Relationship Type="http://schemas.openxmlformats.org/officeDocument/2006/relationships/worksheet" Target="/xl/worksheets/sheet6.xml" Id="Rc70cd342071647eb" /><Relationship Type="http://schemas.openxmlformats.org/officeDocument/2006/relationships/worksheet" Target="/xl/worksheets/sheet7.xml" Id="R80e8838af68d49d7" /><Relationship Type="http://schemas.openxmlformats.org/officeDocument/2006/relationships/worksheet" Target="/xl/worksheets/sheet8.xml" Id="Rd7f006c4824a4aec" /><Relationship Type="http://schemas.openxmlformats.org/officeDocument/2006/relationships/worksheet" Target="/xl/worksheets/sheet9.xml" Id="Rd8a4c6d6313d4495" /><Relationship Type="http://schemas.openxmlformats.org/officeDocument/2006/relationships/worksheet" Target="/xl/worksheets/sheet10.xml" Id="R782ce6d6a0d54a1c" /><Relationship Type="http://schemas.openxmlformats.org/officeDocument/2006/relationships/worksheet" Target="/xl/worksheets/sheet11.xml" Id="R7aa2384c19104e32" /><Relationship Type="http://schemas.openxmlformats.org/officeDocument/2006/relationships/worksheet" Target="/xl/worksheets/sheet12.xml" Id="R53c371dadb354279" /></Relationships>
</file>

<file path=xl/tables/table1.xml><?xml version="1.0" encoding="utf-8"?>
<x:table xmlns:x="http://schemas.openxmlformats.org/spreadsheetml/2006/main" id="3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Records Done"/>
    <x:tableColumn id="6" name="Execution Records"/>
    <x:tableColumn id="7" name="Record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61" headerRowCount="1" totalsRowCount="0" totalsRowShown="0">
  <x:autoFilter ref="A3:S161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ReviewQueueTable" displayName="ReviewQueueTable" ref="A3:L4" headerRowCount="1" totalsRowCount="0" totalsRowShown="0">
  <x:autoFilter ref="A3:L4"/>
  <x:tableColumns count="12">
    <x:tableColumn id="1" name="Work ID"/>
    <x:tableColumn id="2" name="Phase"/>
    <x:tableColumn id="3" name="PLAN Phase"/>
    <x:tableColumn id="4" name="Workstream"/>
    <x:tableColumn id="5" name="Work Item"/>
    <x:tableColumn id="6" name="Workflow"/>
    <x:tableColumn id="7" name="Owner"/>
    <x:tableColumn id="8" name="Waiting On / Reviewer"/>
    <x:tableColumn id="9" name="Next Action"/>
    <x:tableColumn id="10" name="Next Check"/>
    <x:tableColumn id="11" name="Evidence"/>
    <x:tableColumn id="12" name="Updat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RegisterTable" displayName="DecisionRegisterTable" ref="A3:J18" headerRowCount="1" totalsRowCount="0" totalsRowShown="0">
  <x:autoFilter ref="A3:J18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30351a00dab44d8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b30765db0de3413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da1cc3b4d723448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eaff5266ed9647b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09a1f47b77a345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PLAN.md-aligned view · refreshed August 21, 2026 · record counts are navigation metrics, not phase completion or production-readiness claims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P04 — Legal, trust, and creator onboarding</x:v>
      </x:c>
      <x:c r="D5"/>
      <x:c r="E5"/>
      <x:c r="I5" s="130" t="str">
        <x:v>Decide whether to authorize an isolated private-operations identity/access design and local verification slice. This is not approval to mount the review router, approve creators, promote roles, deploy, or configure live identity infrastructure.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Private-operations identity/access design decision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Ready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Design and local verification only; no router mount or APPROVED transition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https://github.com/QK-Connoisseur/PDoki/blob/dev/docs/operations/README.md</x:v>
      </x:c>
      <x:c r="I9" s="131" t="str">
        <x:v>Phase 4 remains partial: creator application and dormant non-approval foundations are published; operational identity, legal, provider, approval, and publishing gates remain open.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Execution records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Record progress</x:v>
      </x:c>
      <x:c r="N12" s="139"/>
    </x:row>
    <x:row r="13" ht="15" hidden="0" customHeight="1">
      <x:c r="A13" s="150" t="n">
        <x:f>COUNTA('Delivery Tracker'!$A$4:$A$400)</x:f>
        <x:v>158</x:v>
      </x:c>
      <x:c r="B13" s="151"/>
      <x:c r="C13" s="150" t="n">
        <x:f>COUNTIF('Delivery Tracker'!$H$4:$H$400,"Done")</x:f>
        <x:v>27</x:v>
      </x:c>
      <x:c r="D13" s="151"/>
      <x:c r="E13" s="150" t="n">
        <x:f>COUNTIF('Delivery Tracker'!$H$4:$H$400,"In Progress")</x:f>
        <x:v>50</x:v>
      </x:c>
      <x:c r="F13" s="151"/>
      <x:c r="G13" s="150" t="n">
        <x:f>COUNTIF('Delivery Tracker'!$H$4:$H$400,"In Review")</x:f>
        <x:v>0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80</x:v>
      </x:c>
      <x:c r="L13" s="151"/>
      <x:c r="M13" s="158" t="n">
        <x:f>IF(A13=0,0,C13/A13)</x:f>
        <x:v>0.17088607594936708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Phase State</x:v>
      </x:c>
      <x:c r="D17" s="98" t="str">
        <x:v>Maturity</x:v>
      </x:c>
      <x:c r="E17" s="98" t="str">
        <x:v>Records Done</x:v>
      </x:c>
      <x:c r="F17" s="98" t="str">
        <x:v>Execution Records</x:v>
      </x:c>
      <x:c r="G17" s="98" t="str">
        <x:v>Record 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5</x:v>
      </x:c>
      <x:c r="F18" s="109" t="n">
        <x:f>'Phase Roadmap'!F4</x:f>
        <x:v>6</x:v>
      </x:c>
      <x:c r="G18" s="118" t="n">
        <x:f>'Phase Roadmap'!G4</x:f>
        <x:v>0.8333333333333334</x:v>
      </x:c>
      <x:c r="H18" s="109" t="n">
        <x:f>'Phase Roadmap'!H4</x:f>
        <x:v>0</x:v>
      </x:c>
      <x:c r="I18" s="109" t="n">
        <x:f>'Phase Roadmap'!I4</x:f>
        <x:v>0</x:v>
      </x:c>
      <x:c r="J18" s="109" t="n">
        <x:f>'Phase Roadmap'!J4</x:f>
        <x:v>0</x:v>
      </x:c>
      <x:c r="K18" s="109" t="n">
        <x:f>'Phase Roadmap'!K4</x:f>
        <x:v>1</x:v>
      </x:c>
      <x:c r="L18" s="109" t="str">
        <x:f>'Phase Roadmap'!L4</x:f>
        <x:v>Maintain the PLAN-aligned execution tracker, decision register, review queue, and daily debrief history.</x:v>
      </x:c>
      <x:c r="M18" s="109" t="str">
        <x:f>'Phase Roadmap'!M4</x:f>
        <x:v>Assign and maintain owners and next-check dates for remaining active decisions; preserve legacy records.</x:v>
      </x:c>
      <x:c r="N18" s="109" t="str">
        <x:f>'Phase Roadmap'!O4</x:f>
        <x:v>https://github.com/QK-Connoisseur/PDoki/pull/13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3</x:v>
      </x:c>
      <x:c r="F19" s="111" t="n">
        <x:f>'Phase Roadmap'!F5</x:f>
        <x:v>8</x:v>
      </x:c>
      <x:c r="G19" s="119" t="n">
        <x:f>'Phase Roadmap'!G5</x:f>
        <x:v>0.375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1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4</x:v>
      </x:c>
      <x:c r="F20" s="111" t="n">
        <x:f>'Phase Roadmap'!F6</x:f>
        <x:v>16</x:v>
      </x:c>
      <x:c r="G20" s="119" t="n">
        <x:f>'Phase Roadmap'!G6</x:f>
        <x:v>0.25</x:v>
      </x:c>
      <x:c r="H20" s="111" t="n">
        <x:f>'Phase Roadmap'!H6</x:f>
        <x:v>7</x:v>
      </x:c>
      <x:c r="I20" s="111" t="n">
        <x:f>'Phase Roadmap'!I6</x:f>
        <x:v>0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PR #13 published the application-owned PostgreSQL worker foundation and fixed non-secret canary; no product flow uses it.</x:v>
      </x:c>
      <x:c r="M20" s="111" t="str">
        <x:f>'Phase Roadmap'!M6</x:f>
        <x:v>Keep Phase 2 partial: staging, restore/backups, monitoring, Redis/shared throttling, general idempotency, and deployment remain open.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2</x:v>
      </x:c>
      <x:c r="F22" s="111" t="n">
        <x:f>'Phase Roadmap'!F8</x:f>
        <x:v>32</x:v>
      </x:c>
      <x:c r="G22" s="119" t="n">
        <x:f>'Phase Roadmap'!G8</x:f>
        <x:v>0.0625</x:v>
      </x:c>
      <x:c r="H22" s="111" t="n">
        <x:f>'Phase Roadmap'!H8</x:f>
        <x:v>15</x:v>
      </x:c>
      <x:c r="I22" s="111" t="n">
        <x:f>'Phase Roadmap'!I8</x:f>
        <x:v>0</x:v>
      </x:c>
      <x:c r="J22" s="111" t="n">
        <x:f>'Phase Roadmap'!J8</x:f>
        <x:v>0</x:v>
      </x:c>
      <x:c r="K22" s="111" t="n">
        <x:f>'Phase Roadmap'!K8</x:f>
        <x:v>15</x:v>
      </x:c>
      <x:c r="L22" s="111" t="str">
        <x:f>'Phase Roadmap'!L8</x:f>
        <x:v>Creator application and dormant non-approval review foundations are published; activation remains blocked.</x:v>
      </x:c>
      <x:c r="M22" s="111" t="str">
        <x:f>'Phase Roadmap'!M8</x:f>
        <x:v>Design and locally verify the private operator identity/access boundary; do not activate APPROVED.</x:v>
      </x:c>
      <x:c r="N22" s="111" t="str">
        <x:f>'Phase Roadmap'!O8</x:f>
        <x:v>https://github.com/QK-Connoisseur/PDoki/pull/1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Not Started</x:v>
      </x:c>
      <x:c r="D23" s="111" t="str">
        <x:f>'Phase Roadmap'!D9</x:f>
        <x:v>UI Prototype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2</x:v>
      </x:c>
      <x:c r="I23" s="111" t="n">
        <x:f>'Phase Roadmap'!I9</x:f>
        <x:v>0</x:v>
      </x:c>
      <x:c r="J23" s="111" t="n">
        <x:f>'Phase Roadmap'!J9</x:f>
        <x:v>0</x:v>
      </x:c>
      <x:c r="K23" s="111" t="n">
        <x:f>'Phase Roadmap'!K9</x:f>
        <x:v>7</x:v>
      </x:c>
      <x:c r="L23" s="111" t="str">
        <x:f>'Phase Roadmap'!L9</x:f>
        <x:v>UI seams exist; secure R2 upload, quarantine, moderation, entitlement, and signed delivery are absent.</x:v>
      </x:c>
      <x:c r="M23" s="111" t="str">
        <x:f>'Phase Roadmap'!M9</x:f>
        <x:v>Approve the content/media domain and protected upload lifecycle after Phase 4 gates.</x:v>
      </x:c>
      <x:c r="N23" s="111" t="str">
        <x:f>'Phase Roadmap'!O9</x:f>
        <x:v>https://github.com/QK-Connoisseur/PDoki/blob/dev/PLAN.md#9-phase-5--media-pipeline-and-content-model</x:v>
      </x:c>
    </x:row>
    <x:row r="24" ht="48" customHeight="1">
      <x:c r="A24" s="111" t="str">
        <x:f>'Phase Roadmap'!A10</x:f>
        <x:v>P06</x:v>
      </x:c>
      <x:c r="B24" s="111" t="str">
        <x:f>'Phase Roadmap'!B10</x:f>
        <x:v>Veso, payments, subscriptions, tipping, and PPV</x:v>
      </x:c>
      <x:c r="C24" s="111" t="str">
        <x:f>'Phase Roadmap'!C10</x:f>
        <x:v>Not Started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20</x:v>
      </x:c>
      <x:c r="G24" s="119" t="n">
        <x:f>'Phase Roadmap'!G10</x:f>
        <x:v>0</x:v>
      </x:c>
      <x:c r="H24" s="111" t="n">
        <x:f>'Phase Roadmap'!H10</x:f>
        <x:v>5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15</x:v>
      </x:c>
      <x:c r="L24" s="111" t="str">
        <x:f>'Phase Roadmap'!L10</x:f>
        <x:v>Veso direction and UI prototypes exist; processor, ledger, webhooks, and entitlements are not implemented.</x:v>
      </x:c>
      <x:c r="M24" s="111" t="str">
        <x:f>'Phase Roadmap'!M10</x:f>
        <x:v>Founder/provider/counsel decisions on processor economics, refunds, payouts, and Veso terms.</x:v>
      </x:c>
      <x:c r="N24" s="111" t="str">
        <x:f>'Phase Roadmap'!O10</x:f>
        <x:v>https://github.com/QK-Connoisseur/PDoki/blob/dev/PLAN.md#10-phase-6--veso-payments-subscriptions-tipping-and-ppv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Waiting on creator approval, media, payments, entitlement, and operations dependencies.</x:v>
      </x:c>
      <x:c r="M25" s="111" t="str">
        <x:f>'Phase Roadmap'!M11</x:f>
        <x:v>Complete prerequisite Phase 4–6 controls before implementing the full member-to-creator flow.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Strong prototypes exist; real data, persistence, entitlement, and booking/purchase flows remain open.</x:v>
      </x:c>
      <x:c r="M26" s="111" t="str">
        <x:f>'Phase Roadmap'!M12</x:f>
        <x:v>Integrate only after content, entitlement, and Veso foundations exist.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Chat UI and auth email infrastructure exist; WebSockets and persisted platform notifications remain open.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15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13</x:v>
      </x:c>
      <x:c r="L29" s="111" t="str">
        <x:f>'Phase Roadmap'!L15</x:f>
        <x:v>Private shell and dormant review seam exist; production identity, hosting, permissions, and UI do not.</x:v>
      </x:c>
      <x:c r="M29" s="111" t="str">
        <x:f>'Phase Roadmap'!M15</x:f>
        <x:v>Approve an isolated private-operations identity/access design and local/staging verification slice.</x:v>
      </x:c>
      <x:c r="N29" s="111" t="str">
        <x:f>'Phase Roadmap'!O15</x:f>
        <x:v>https://github.com/QK-Connoisseur/PDoki/blob/dev/docs/operations/README.md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Oasis/Drimy launch implementation</x:v>
      </x:c>
      <x:c r="C30" s="111" t="str">
        <x:f>'Phase Roadmap'!C16</x:f>
        <x:v>Partially Complete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1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1</x:v>
      </x:c>
      <x:c r="L30" s="111" t="str">
        <x:f>'Phase Roadmap'!L16</x:f>
        <x:v>Client-only prototype exists; server-authoritative state, ledgers, cooldowns, and inventory are absent.</x:v>
      </x:c>
      <x:c r="M30" s="111" t="str">
        <x:f>'Phase Roadmap'!M16</x:f>
        <x:v>Define server domains and reward rules after ledger/idempotency foundations.</x:v>
      </x:c>
      <x:c r="N30" s="111" t="str">
        <x:f>'Phase Roadmap'!O16</x:f>
        <x:v>https://github.com/QK-Connoisseur/PDoki/blob/dev/PLAN.md#16-phase-12--oasisdrimy-launch-implementation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1</x:v>
      </x:c>
      <x:c r="F32" s="111" t="n">
        <x:f>'Phase Roadmap'!F18</x:f>
        <x:v>22</x:v>
      </x:c>
      <x:c r="G32" s="119" t="n">
        <x:f>'Phase Roadmap'!G18</x:f>
        <x:v>0.045454545454545456</x:v>
      </x:c>
      <x:c r="H32" s="111" t="n">
        <x:f>'Phase Roadmap'!H18</x:f>
        <x:v>3</x:v>
      </x:c>
      <x:c r="I32" s="111" t="n">
        <x:f>'Phase Roadmap'!I18</x:f>
        <x:v>0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and the deterministic promotion clock fix are published; product E2E, security drills, beta, and launch gates remain open.</x:v>
      </x:c>
      <x:c r="M32" s="111" t="str">
        <x:f>'Phase Roadmap'!M18</x:f>
        <x:v>Keep expanding domain tests; do not schedule beta until legal, payments, identity, recovery, and support gates exist.</x:v>
      </x:c>
      <x:c r="N32" s="111" t="str">
        <x:f>'Phase Roadmap'!O18</x:f>
        <x:v>https://github.com/QK-Connoisseur/PDoki/actions/runs/32535922437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Start with Review &amp; Blocker Queue for immediate attention.</x:v>
      </x:c>
      <x:c r="C35" s="109" t="str">
        <x:v>2</x:v>
      </x:c>
      <x:c r="D35" s="109" t="str">
        <x:v>Use Delivery Tracker for canonical execution status.</x:v>
      </x:c>
      <x:c r="E35" s="109" t="str">
        <x:v>3</x:v>
      </x:c>
      <x:c r="F35" s="109" t="str">
        <x:v>Use Phase Roadmap for evidence-based phase state and exit gates.</x:v>
      </x:c>
      <x:c r="G35" s="109" t="str">
        <x:v>4</x:v>
      </x:c>
      <x:c r="H35" s="109" t="str">
        <x:v>Use Daily Log for each meaningful work-session debrief.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merged and CI-verified; the fixed canary foundation is Done while Phase 2 remains partial.</x:v>
      </x:c>
      <x:c r="G36" s="111" t="str">
        <x:v>Phase 4</x:v>
      </x:c>
      <x:c r="H36" s="111" t="str">
        <x:v>Foundation published; operational/legal/identity gates remain open.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total is flagged in Decision Register and preserved unchanged.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Metric rule</x:v>
      </x:c>
      <x:c r="D38" s="111" t="str">
        <x:v>Record progress counts preserved/current records; Phase State is the canonical PLAN judgment.</x:v>
      </x:c>
      <x:c r="E38" s="111" t="str">
        <x:v>Published base</x:v>
      </x:c>
      <x:c r="F38" s="111" t="str">
        <x:v>dev @ 6311522</x:v>
      </x:c>
      <x:c r="G38" s="111" t="str">
        <x:v>PR #13</x:v>
      </x:c>
      <x:c r="H38" s="111" t="str">
        <x:v>Merged</x:v>
      </x:c>
      <x:c r="I38" s="111" t="str">
        <x:v>Post-merge CI</x:v>
      </x:c>
      <x:c r="J38" s="111" t="str">
        <x:v>32535922437 — green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4" t="s">
        <x:v>21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">
        <x:v>61</x:v>
      </x:c>
      <x:c r="C23" s="23" t="s">
        <x:v>26</x:v>
      </x:c>
      <x:c r="D23" s="19" t="s">
        <x:v>62</x:v>
      </x:c>
    </x:row>
    <x:row r="24" ht="15.75" customHeight="1">
      <x:c r="A24" s="20" t="s">
        <x:v>63</x:v>
      </x:c>
      <x:c r="B24" s="21" t="s">
        <x:v>64</x:v>
      </x:c>
      <x:c r="C24" s="23" t="s">
        <x:v>26</x:v>
      </x:c>
      <x:c r="D24" s="22" t="s">
        <x:v>65</x:v>
      </x:c>
    </x:row>
    <x:row r="25" ht="15.75" customHeight="1">
      <x:c r="A25" s="16" t="s">
        <x:v>66</x:v>
      </x:c>
      <x:c r="B25" s="17" t="s">
        <x:v>67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68</x:v>
      </x:c>
      <x:c r="B26" s="21" t="s">
        <x:v>69</x:v>
      </x:c>
      <x:c r="C26" s="24" t="s">
        <x:v>21</x:v>
      </x:c>
      <x:c r="D26" s="22" t="s">
        <x:v>70</x:v>
      </x:c>
    </x:row>
    <x:row r="27" ht="15.75" customHeight="1">
      <x:c r="A27" s="16" t="s">
        <x:v>71</x:v>
      </x:c>
      <x:c r="B27" s="17" t="s">
        <x:v>72</x:v>
      </x:c>
      <x:c r="C27" s="24" t="s">
        <x:v>21</x:v>
      </x:c>
      <x:c r="D27" s="19" t="s">
        <x:v>73</x:v>
      </x:c>
    </x:row>
    <x:row r="28" ht="15.75" customHeight="1">
      <x:c r="A28" s="20" t="s">
        <x:v>74</x:v>
      </x:c>
      <x:c r="B28" s="21" t="s">
        <x:v>75</x:v>
      </x:c>
      <x:c r="C28" s="24" t="s">
        <x:v>21</x:v>
      </x:c>
      <x:c r="D28" s="22" t="s">
        <x:v>76</x:v>
      </x:c>
    </x:row>
    <x:row r="29" ht="15.75" customHeight="1">
      <x:c r="A29" s="16" t="s">
        <x:v>77</x:v>
      </x:c>
      <x:c r="B29" s="17" t="s">
        <x:v>78</x:v>
      </x:c>
      <x:c r="C29" s="24" t="s">
        <x:v>21</x:v>
      </x:c>
      <x:c r="D29" s="19" t="s">
        <x:v>79</x:v>
      </x:c>
    </x:row>
    <x:row r="30" ht="15.75" customHeight="1">
      <x:c r="A30" s="20" t="s">
        <x:v>80</x:v>
      </x:c>
      <x:c r="B30" s="21" t="s">
        <x:v>81</x:v>
      </x:c>
      <x:c r="C30" s="24" t="s">
        <x:v>21</x:v>
      </x:c>
      <x:c r="D30" s="22" t="s">
        <x:v>82</x:v>
      </x:c>
    </x:row>
    <x:row r="31" ht="15.75" customHeight="1">
      <x:c r="A31" s="16" t="s">
        <x:v>83</x:v>
      </x:c>
      <x:c r="B31" s="17" t="s">
        <x:v>84</x:v>
      </x:c>
      <x:c r="C31" s="24" t="s">
        <x:v>21</x:v>
      </x:c>
      <x:c r="D31" s="19" t="s">
        <x:v>85</x:v>
      </x:c>
    </x:row>
    <x:row r="32" ht="15.75" customHeight="1">
      <x:c r="A32" s="20" t="s">
        <x:v>86</x:v>
      </x:c>
      <x:c r="B32" s="21" t="s">
        <x:v>87</x:v>
      </x:c>
      <x:c r="C32" s="24" t="s">
        <x:v>21</x:v>
      </x:c>
      <x:c r="D32" s="22" t="s">
        <x:v>88</x:v>
      </x:c>
    </x:row>
    <x:row r="33" ht="15.75" customHeight="1">
      <x:c r="A33" s="16" t="s">
        <x:v>89</x:v>
      </x:c>
      <x:c r="B33" s="17" t="s">
        <x:v>90</x:v>
      </x:c>
      <x:c r="C33" s="24" t="s">
        <x:v>21</x:v>
      </x:c>
      <x:c r="D33" s="19" t="s">
        <x:v>91</x:v>
      </x:c>
    </x:row>
    <x:row r="34" ht="15.75" customHeight="1">
      <x:c r="A34" s="20" t="s">
        <x:v>92</x:v>
      </x:c>
      <x:c r="B34" s="21" t="s">
        <x:v>93</x:v>
      </x:c>
      <x:c r="C34" s="24" t="s">
        <x:v>21</x:v>
      </x:c>
      <x:c r="D34" s="22" t="s">
        <x:v>94</x:v>
      </x:c>
    </x:row>
    <x:row r="35" ht="27.75" customHeight="1">
      <x:c r="A35" s="15" t="s">
        <x:v>95</x:v>
      </x:c>
      <x:c r="B35" s="2"/>
      <x:c r="C35" s="2"/>
      <x:c r="D35" s="3"/>
    </x:row>
    <x:row r="36" ht="15.75" customHeight="1">
      <x:c r="A36" s="16" t="s">
        <x:v>96</x:v>
      </x:c>
      <x:c r="B36" s="17" t="s">
        <x:v>97</x:v>
      </x:c>
      <x:c r="C36" s="18" t="s">
        <x:v>9</x:v>
      </x:c>
      <x:c r="D36" s="19" t="s">
        <x:v>98</x:v>
      </x:c>
    </x:row>
    <x:row r="37" ht="15.75" customHeight="1">
      <x:c r="A37" s="20" t="s">
        <x:v>99</x:v>
      </x:c>
      <x:c r="B37" s="21" t="s">
        <x:v>100</x:v>
      </x:c>
      <x:c r="C37" s="23" t="s">
        <x:v>26</x:v>
      </x:c>
      <x:c r="D37" s="22" t="s">
        <x:v>101</x:v>
      </x:c>
    </x:row>
    <x:row r="38" ht="15.75" customHeight="1">
      <x:c r="A38" s="16" t="s">
        <x:v>102</x:v>
      </x:c>
      <x:c r="B38" s="17" t="s">
        <x:v>103</x:v>
      </x:c>
      <x:c r="C38" s="23" t="s">
        <x:v>26</x:v>
      </x:c>
      <x:c r="D38" s="19" t="s">
        <x:v>104</x:v>
      </x:c>
    </x:row>
    <x:row r="39" ht="15.75" customHeight="1">
      <x:c r="A39" s="20" t="s">
        <x:v>105</x:v>
      </x:c>
      <x:c r="B39" s="21" t="s">
        <x:v>106</x:v>
      </x:c>
      <x:c r="C39" s="18" t="s">
        <x:v>9</x:v>
      </x:c>
      <x:c r="D39" s="22" t="s">
        <x:v>107</x:v>
      </x:c>
    </x:row>
    <x:row r="40" ht="15.75" customHeight="1">
      <x:c r="A40" s="16" t="s">
        <x:v>108</x:v>
      </x:c>
      <x:c r="B40" s="17" t="s">
        <x:v>109</x:v>
      </x:c>
      <x:c r="C40" s="23" t="s">
        <x:v>26</x:v>
      </x:c>
      <x:c r="D40" s="19" t="s">
        <x:v>110</x:v>
      </x:c>
    </x:row>
    <x:row r="41" ht="24" hidden="0" customHeight="1">
      <x:c r="A41" s="20" t="s">
        <x:v>111</x:v>
      </x:c>
      <x:c r="B41" s="21" t="s">
        <x:v>112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113</x:v>
      </x:c>
      <x:c r="B42" s="17" t="s">
        <x:v>114</x:v>
      </x:c>
      <x:c r="C42" s="24" t="s">
        <x:v>21</x:v>
      </x:c>
      <x:c r="D42" s="19" t="s">
        <x:v>115</x:v>
      </x:c>
    </x:row>
    <x:row r="43" ht="15.75" customHeight="1">
      <x:c r="A43" s="20" t="s">
        <x:v>116</x:v>
      </x:c>
      <x:c r="B43" s="21" t="s">
        <x:v>117</x:v>
      </x:c>
      <x:c r="C43" s="24" t="s">
        <x:v>21</x:v>
      </x:c>
      <x:c r="D43" s="22" t="s">
        <x:v>118</x:v>
      </x:c>
    </x:row>
    <x:row r="44" ht="27.75" customHeight="1">
      <x:c r="A44" s="15" t="s">
        <x:v>119</x:v>
      </x:c>
      <x:c r="B44" s="2"/>
      <x:c r="C44" s="2"/>
      <x:c r="D44" s="3"/>
    </x:row>
    <x:row r="45" ht="15.75" customHeight="1">
      <x:c r="A45" s="16" t="s">
        <x:v>120</x:v>
      </x:c>
      <x:c r="B45" s="17" t="s">
        <x:v>121</x:v>
      </x:c>
      <x:c r="C45" s="18" t="s">
        <x:v>9</x:v>
      </x:c>
      <x:c r="D45" s="19" t="s">
        <x:v>122</x:v>
      </x:c>
    </x:row>
    <x:row r="46" ht="15.75" customHeight="1">
      <x:c r="A46" s="20" t="s">
        <x:v>123</x:v>
      </x:c>
      <x:c r="B46" s="21" t="s">
        <x:v>124</x:v>
      </x:c>
      <x:c r="C46" s="24" t="s">
        <x:v>21</x:v>
      </x:c>
      <x:c r="D46" s="22" t="s">
        <x:v>125</x:v>
      </x:c>
    </x:row>
    <x:row r="47" ht="24" hidden="0" customHeight="1">
      <x:c r="A47" s="16" t="s">
        <x:v>126</x:v>
      </x:c>
      <x:c r="B47" s="17" t="s">
        <x:v>127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128</x:v>
      </x:c>
      <x:c r="B48" s="21" t="s">
        <x:v>129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130</x:v>
      </x:c>
      <x:c r="B49" s="17" t="s">
        <x:v>131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132</x:v>
      </x:c>
      <x:c r="B50" s="21" t="s">
        <x:v>133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134</x:v>
      </x:c>
      <x:c r="B51" s="17" t="s">
        <x:v>135</x:v>
      </x:c>
      <x:c r="C51" s="24" t="s">
        <x:v>21</x:v>
      </x:c>
      <x:c r="D51" s="19" t="s">
        <x:v>136</x:v>
      </x:c>
    </x:row>
    <x:row r="52" ht="15" hidden="0" customHeight="1">
      <x:c r="A52" s="20" t="s">
        <x:v>137</x:v>
      </x:c>
      <x:c r="B52" s="21" t="s">
        <x:v>138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139</x:v>
      </x:c>
      <x:c r="B53" s="17" t="s">
        <x:v>140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141</x:v>
      </x:c>
      <x:c r="B54" s="21" t="s">
        <x:v>142</x:v>
      </x:c>
      <x:c r="C54" s="24" t="s">
        <x:v>21</x:v>
      </x:c>
      <x:c r="D54" s="22" t="s">
        <x:v>143</x:v>
      </x:c>
    </x:row>
    <x:row r="55" ht="27.75" customHeight="1">
      <x:c r="A55" s="15" t="s">
        <x:v>144</x:v>
      </x:c>
      <x:c r="B55" s="2"/>
      <x:c r="C55" s="2"/>
      <x:c r="D55" s="3"/>
    </x:row>
    <x:row r="56" ht="24" hidden="0" customHeight="1">
      <x:c r="A56" s="16" t="s">
        <x:v>145</x:v>
      </x:c>
      <x:c r="B56" s="17" t="s">
        <x:v>146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147</x:v>
      </x:c>
      <x:c r="B57" s="21" t="s">
        <x:v>148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149</x:v>
      </x:c>
      <x:c r="B58" s="17" t="s">
        <x:v>150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151</x:v>
      </x:c>
      <x:c r="B59" s="21" t="s">
        <x:v>152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153</x:v>
      </x:c>
      <x:c r="B60" s="17" t="s">
        <x:v>154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155</x:v>
      </x:c>
      <x:c r="B61" s="21" t="s">
        <x:v>156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157</x:v>
      </x:c>
      <x:c r="B62" s="17" t="s">
        <x:v>158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159</x:v>
      </x:c>
      <x:c r="B63" s="2"/>
      <x:c r="C63" s="2"/>
      <x:c r="D63" s="3"/>
    </x:row>
    <x:row r="64" ht="15.75" customHeight="1">
      <x:c r="A64" s="16" t="s">
        <x:v>160</x:v>
      </x:c>
      <x:c r="B64" s="17" t="s">
        <x:v>161</x:v>
      </x:c>
      <x:c r="C64" s="18" t="s">
        <x:v>9</x:v>
      </x:c>
      <x:c r="D64" s="19" t="s">
        <x:v>162</x:v>
      </x:c>
    </x:row>
    <x:row r="65" ht="15.75" customHeight="1">
      <x:c r="A65" s="20" t="s">
        <x:v>163</x:v>
      </x:c>
      <x:c r="B65" s="21" t="s">
        <x:v>164</x:v>
      </x:c>
      <x:c r="C65" s="23" t="s">
        <x:v>26</x:v>
      </x:c>
      <x:c r="D65" s="22" t="s">
        <x:v>165</x:v>
      </x:c>
    </x:row>
    <x:row r="66" ht="15.75" customHeight="1">
      <x:c r="A66" s="16" t="s">
        <x:v>166</x:v>
      </x:c>
      <x:c r="B66" s="17" t="s">
        <x:v>167</x:v>
      </x:c>
      <x:c r="C66" s="23" t="s">
        <x:v>26</x:v>
      </x:c>
      <x:c r="D66" s="19" t="s">
        <x:v>168</x:v>
      </x:c>
    </x:row>
    <x:row r="67" ht="15.75" customHeight="1">
      <x:c r="A67" s="20" t="s">
        <x:v>169</x:v>
      </x:c>
      <x:c r="B67" s="21" t="s">
        <x:v>170</x:v>
      </x:c>
      <x:c r="C67" s="18" t="s">
        <x:v>9</x:v>
      </x:c>
      <x:c r="D67" s="22" t="s">
        <x:v>171</x:v>
      </x:c>
    </x:row>
    <x:row r="68" ht="15.75" customHeight="1">
      <x:c r="A68" s="16" t="s">
        <x:v>172</x:v>
      </x:c>
      <x:c r="B68" s="17" t="s">
        <x:v>173</x:v>
      </x:c>
      <x:c r="C68" s="23" t="s">
        <x:v>26</x:v>
      </x:c>
      <x:c r="D68" s="19" t="s">
        <x:v>174</x:v>
      </x:c>
    </x:row>
    <x:row r="69" ht="24" hidden="0" customHeight="1">
      <x:c r="A69" s="20" t="s">
        <x:v>175</x:v>
      </x:c>
      <x:c r="B69" s="21" t="s">
        <x:v>176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177</x:v>
      </x:c>
      <x:c r="B70" s="17" t="s">
        <x:v>178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179</x:v>
      </x:c>
      <x:c r="B71" s="21" t="s">
        <x:v>180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181</x:v>
      </x:c>
      <x:c r="B72" s="17" t="s">
        <x:v>182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183</x:v>
      </x:c>
      <x:c r="B73" s="21" t="s">
        <x:v>184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185</x:v>
      </x:c>
      <x:c r="B74" s="17" t="s">
        <x:v>186</x:v>
      </x:c>
      <x:c r="C74" s="23" t="s">
        <x:v>26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187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188</x:v>
      </x:c>
      <x:c r="B76" s="17" t="s">
        <x:v>189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190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191</x:v>
      </x:c>
      <x:c r="B78" s="17" t="s">
        <x:v>192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193</x:v>
      </x:c>
      <x:c r="B79" s="21" t="s">
        <x:v>194</x:v>
      </x:c>
      <x:c r="C79" s="24" t="s">
        <x:v>21</x:v>
      </x:c>
      <x:c r="D79" s="22" t="s">
        <x:v>195</x:v>
      </x:c>
    </x:row>
    <x:row r="80" ht="15.75" customHeight="1">
      <x:c r="A80" s="16" t="s">
        <x:v>196</x:v>
      </x:c>
      <x:c r="B80" s="17" t="s">
        <x:v>197</x:v>
      </x:c>
      <x:c r="C80" s="24" t="s">
        <x:v>21</x:v>
      </x:c>
      <x:c r="D80" s="19" t="s">
        <x:v>198</x:v>
      </x:c>
    </x:row>
    <x:row r="81" ht="15.75" customHeight="1">
      <x:c r="A81" s="20" t="s">
        <x:v>199</x:v>
      </x:c>
      <x:c r="B81" s="21" t="s">
        <x:v>200</x:v>
      </x:c>
      <x:c r="C81" s="18" t="s">
        <x:v>9</x:v>
      </x:c>
      <x:c r="D81" s="22" t="s">
        <x:v>201</x:v>
      </x:c>
    </x:row>
    <x:row r="82" ht="15.75" customHeight="1">
      <x:c r="A82" s="16" t="s">
        <x:v>202</x:v>
      </x:c>
      <x:c r="B82" s="17" t="s">
        <x:v>203</x:v>
      </x:c>
      <x:c r="C82" s="18" t="s">
        <x:v>9</x:v>
      </x:c>
      <x:c r="D82" s="19" t="s">
        <x:v>204</x:v>
      </x:c>
    </x:row>
    <x:row r="83" ht="15.75" customHeight="1">
      <x:c r="A83" s="20" t="s">
        <x:v>205</x:v>
      </x:c>
      <x:c r="B83" s="21" t="s">
        <x:v>206</x:v>
      </x:c>
      <x:c r="C83" s="18" t="s">
        <x:v>9</x:v>
      </x:c>
      <x:c r="D83" s="22" t="s">
        <x:v>207</x:v>
      </x:c>
    </x:row>
    <x:row r="84" ht="30.75" customHeight="1">
      <x:c r="A84" s="16" t="s">
        <x:v>208</x:v>
      </x:c>
      <x:c r="B84" s="17" t="s">
        <x:v>209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210</x:v>
      </x:c>
      <x:c r="B85" s="26" t="s">
        <x:v>211</x:v>
      </x:c>
      <x:c r="C85" s="18" t="s">
        <x:v>9</x:v>
      </x:c>
      <x:c r="D85" s="27" t="s">
        <x:v>212</x:v>
      </x:c>
    </x:row>
    <x:row r="86" ht="15.75" customHeight="1">
      <x:c r="A86" s="15" t="s">
        <x:v>213</x:v>
      </x:c>
      <x:c r="B86" s="2"/>
      <x:c r="C86" s="2"/>
      <x:c r="D86" s="3"/>
    </x:row>
    <x:row r="87" ht="15.75" customHeight="1">
      <x:c r="A87" s="16" t="s">
        <x:v>214</x:v>
      </x:c>
      <x:c r="B87" s="17" t="s">
        <x:v>215</x:v>
      </x:c>
      <x:c r="C87" s="24" t="s">
        <x:v>21</x:v>
      </x:c>
      <x:c r="D87" s="19" t="s">
        <x:v>216</x:v>
      </x:c>
    </x:row>
    <x:row r="88" ht="15.75" customHeight="1">
      <x:c r="A88" s="20" t="s">
        <x:v>217</x:v>
      </x:c>
      <x:c r="B88" s="21" t="s">
        <x:v>218</x:v>
      </x:c>
      <x:c r="C88" s="24" t="s">
        <x:v>21</x:v>
      </x:c>
      <x:c r="D88" s="22" t="s">
        <x:v>219</x:v>
      </x:c>
    </x:row>
    <x:row r="89" ht="15.75" customHeight="1">
      <x:c r="A89" s="16" t="s">
        <x:v>220</x:v>
      </x:c>
      <x:c r="B89" s="17" t="s">
        <x:v>221</x:v>
      </x:c>
      <x:c r="C89" s="24" t="s">
        <x:v>21</x:v>
      </x:c>
      <x:c r="D89" s="19" t="s">
        <x:v>222</x:v>
      </x:c>
    </x:row>
    <x:row r="90" ht="15.75" customHeight="1">
      <x:c r="A90" s="20" t="s">
        <x:v>223</x:v>
      </x:c>
      <x:c r="B90" s="21" t="s">
        <x:v>224</x:v>
      </x:c>
      <x:c r="C90" s="24" t="s">
        <x:v>21</x:v>
      </x:c>
      <x:c r="D90" s="22" t="s">
        <x:v>225</x:v>
      </x:c>
    </x:row>
    <x:row r="91" ht="15.75" customHeight="1">
      <x:c r="A91" s="16" t="s">
        <x:v>226</x:v>
      </x:c>
      <x:c r="B91" s="17" t="s">
        <x:v>227</x:v>
      </x:c>
      <x:c r="C91" s="24" t="s">
        <x:v>21</x:v>
      </x:c>
      <x:c r="D91" s="19" t="s">
        <x:v>228</x:v>
      </x:c>
    </x:row>
    <x:row r="92" ht="27.75" customHeight="1">
      <x:c r="A92" s="28" t="s">
        <x:v>229</x:v>
      </x:c>
      <x:c r="B92" s="29" t="s">
        <x:v>230</x:v>
      </x:c>
      <x:c r="C92" s="30" t="s">
        <x:v>21</x:v>
      </x:c>
      <x:c r="D92" s="31" t="s">
        <x:v>231</x:v>
      </x:c>
    </x:row>
    <x:row r="93" ht="15.75" customHeight="1">
      <x:c r="A93" s="15" t="s">
        <x:v>232</x:v>
      </x:c>
      <x:c r="B93" s="2"/>
      <x:c r="C93" s="2"/>
      <x:c r="D93" s="3"/>
    </x:row>
    <x:row r="94" ht="15.75" customHeight="1">
      <x:c r="A94" s="32" t="s">
        <x:v>233</x:v>
      </x:c>
      <x:c r="B94" s="33" t="s">
        <x:v>234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235</x:v>
      </x:c>
      <x:c r="B95" s="21" t="s">
        <x:v>236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237</x:v>
      </x:c>
      <x:c r="B96" s="17" t="s">
        <x:v>238</x:v>
      </x:c>
      <x:c r="C96" s="24" t="s">
        <x:v>21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239</x:v>
      </x:c>
      <x:c r="B97" s="21" t="s">
        <x:v>240</x:v>
      </x:c>
      <x:c r="C97" s="24" t="s">
        <x:v>21</x:v>
      </x:c>
      <x:c r="D97" s="22" t="s">
        <x:v>241</x:v>
      </x:c>
    </x:row>
    <x:row r="98" ht="15.75" customHeight="1">
      <x:c r="A98" s="16" t="s">
        <x:v>242</x:v>
      </x:c>
      <x:c r="B98" s="17" t="s">
        <x:v>243</x:v>
      </x:c>
      <x:c r="C98" s="24" t="s">
        <x:v>21</x:v>
      </x:c>
      <x:c r="D98" s="19" t="s">
        <x:v>244</x:v>
      </x:c>
    </x:row>
    <x:row r="99" ht="15.75" customHeight="1">
      <x:c r="A99" s="20" t="s">
        <x:v>245</x:v>
      </x:c>
      <x:c r="B99" s="21" t="s">
        <x:v>246</x:v>
      </x:c>
      <x:c r="C99" s="24" t="s">
        <x:v>21</x:v>
      </x:c>
      <x:c r="D99" s="22" t="s">
        <x:v>247</x:v>
      </x:c>
    </x:row>
    <x:row r="100" ht="15.75" customHeight="1">
      <x:c r="A100" s="16" t="s">
        <x:v>248</x:v>
      </x:c>
      <x:c r="B100" s="17" t="s">
        <x:v>249</x:v>
      </x:c>
      <x:c r="C100" s="24" t="s">
        <x:v>21</x:v>
      </x:c>
      <x:c r="D100" s="19" t="s">
        <x:v>250</x:v>
      </x:c>
    </x:row>
    <x:row r="101" ht="15.75" customHeight="1">
      <x:c r="A101" s="20" t="s">
        <x:v>251</x:v>
      </x:c>
      <x:c r="B101" s="21" t="s">
        <x:v>252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253</x:v>
      </x:c>
      <x:c r="B102" s="17" t="s">
        <x:v>254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255</x:v>
      </x:c>
      <x:c r="B103" s="21" t="s">
        <x:v>256</x:v>
      </x:c>
      <x:c r="C103" s="24" t="s">
        <x:v>21</x:v>
      </x:c>
      <x:c r="D103" s="22" t="s">
        <x:v>257</x:v>
      </x:c>
    </x:row>
    <x:row r="104" ht="27.75" customHeight="1">
      <x:c r="A104" s="36" t="s">
        <x:v>258</x:v>
      </x:c>
      <x:c r="B104" s="37" t="s">
        <x:v>259</x:v>
      </x:c>
      <x:c r="C104" s="30" t="s">
        <x:v>21</x:v>
      </x:c>
      <x:c r="D104" s="38" t="s">
        <x:v>260</x:v>
      </x:c>
    </x:row>
    <x:row r="105" ht="15.75" customHeight="1">
      <x:c r="A105" s="15" t="s">
        <x:v>261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262</x:v>
      </x:c>
      <x:c r="B107" s="21" t="s">
        <x:v>263</x:v>
      </x:c>
      <x:c r="C107" s="24" t="s">
        <x:v>21</x:v>
      </x:c>
      <x:c r="D107" s="22" t="s">
        <x:v>264</x:v>
      </x:c>
    </x:row>
    <x:row r="108" ht="15" hidden="0" customHeight="1">
      <x:c r="A108" s="16" t="s">
        <x:v>265</x:v>
      </x:c>
      <x:c r="B108" s="17" t="s">
        <x:v>266</x:v>
      </x:c>
      <x:c r="C108" s="24" t="s">
        <x:v>21</x:v>
      </x:c>
      <x:c r="D108" s="19" t="s">
        <x:v>267</x:v>
      </x:c>
    </x:row>
    <x:row r="109" ht="24" hidden="0" customHeight="1">
      <x:c r="A109" s="20" t="s">
        <x:v>268</x:v>
      </x:c>
      <x:c r="B109" s="21" t="s">
        <x:v>269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270</x:v>
      </x:c>
      <x:c r="B110" s="17" t="s">
        <x:v>271</x:v>
      </x:c>
      <x:c r="C110" s="24" t="s">
        <x:v>21</x:v>
      </x:c>
      <x:c r="D110" s="19" t="s">
        <x:v>272</x:v>
      </x:c>
    </x:row>
    <x:row r="111" ht="15.75" customHeight="1">
      <x:c r="A111" s="20" t="s">
        <x:v>273</x:v>
      </x:c>
      <x:c r="B111" s="21" t="s">
        <x:v>274</x:v>
      </x:c>
      <x:c r="C111" s="24" t="s">
        <x:v>21</x:v>
      </x:c>
      <x:c r="D111" s="22" t="s">
        <x:v>275</x:v>
      </x:c>
    </x:row>
    <x:row r="112" ht="15.75" customHeight="1">
      <x:c r="A112" s="16" t="s">
        <x:v>276</x:v>
      </x:c>
      <x:c r="B112" s="17" t="s">
        <x:v>277</x:v>
      </x:c>
      <x:c r="C112" s="24" t="s">
        <x:v>21</x:v>
      </x:c>
      <x:c r="D112" s="19" t="s">
        <x:v>278</x:v>
      </x:c>
    </x:row>
    <x:row r="113" ht="15.75" customHeight="1">
      <x:c r="A113" s="20" t="s">
        <x:v>279</x:v>
      </x:c>
      <x:c r="B113" s="21" t="s">
        <x:v>280</x:v>
      </x:c>
      <x:c r="C113" s="24" t="s">
        <x:v>21</x:v>
      </x:c>
      <x:c r="D113" s="22" t="s">
        <x:v>281</x:v>
      </x:c>
    </x:row>
    <x:row r="114" ht="15.75" customHeight="1">
      <x:c r="A114" s="16" t="s">
        <x:v>282</x:v>
      </x:c>
      <x:c r="B114" s="17" t="s">
        <x:v>283</x:v>
      </x:c>
      <x:c r="C114" s="24" t="s">
        <x:v>21</x:v>
      </x:c>
      <x:c r="D114" s="19" t="s">
        <x:v>284</x:v>
      </x:c>
    </x:row>
    <x:row r="115" ht="15.75" customHeight="1">
      <x:c r="A115" s="20" t="s">
        <x:v>285</x:v>
      </x:c>
      <x:c r="B115" s="21" t="s">
        <x:v>286</x:v>
      </x:c>
      <x:c r="C115" s="24" t="s">
        <x:v>21</x:v>
      </x:c>
      <x:c r="D115" s="22" t="s">
        <x:v>287</x:v>
      </x:c>
    </x:row>
    <x:row r="116" ht="15.75" customHeight="1">
      <x:c r="A116" s="16" t="s">
        <x:v>288</x:v>
      </x:c>
      <x:c r="B116" s="17" t="s">
        <x:v>289</x:v>
      </x:c>
      <x:c r="C116" s="24" t="s">
        <x:v>21</x:v>
      </x:c>
      <x:c r="D116" s="19" t="s">
        <x:v>290</x:v>
      </x:c>
    </x:row>
    <x:row r="117" ht="15.75" customHeight="1">
      <x:c r="A117" s="20" t="s">
        <x:v>291</x:v>
      </x:c>
      <x:c r="B117" s="21" t="s">
        <x:v>292</x:v>
      </x:c>
      <x:c r="C117" s="24" t="s">
        <x:v>21</x:v>
      </x:c>
      <x:c r="D117" s="22" t="s">
        <x:v>293</x:v>
      </x:c>
    </x:row>
    <x:row r="118" ht="24" hidden="0" customHeight="1">
      <x:c r="A118" s="36" t="s">
        <x:v>294</x:v>
      </x:c>
      <x:c r="B118" s="37" t="s">
        <x:v>295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296</x:v>
      </x:c>
      <x:c r="B119" s="2"/>
      <x:c r="C119" s="2"/>
      <x:c r="D119" s="3"/>
    </x:row>
    <x:row r="120" ht="15.75" customHeight="1">
      <x:c r="A120" s="32" t="s">
        <x:v>297</x:v>
      </x:c>
      <x:c r="B120" s="33" t="s">
        <x:v>298</x:v>
      </x:c>
      <x:c r="C120" s="39" t="s">
        <x:v>21</x:v>
      </x:c>
      <x:c r="D120" s="35" t="s">
        <x:v>22</x:v>
      </x:c>
    </x:row>
    <x:row r="121" ht="15.75" customHeight="1">
      <x:c r="A121" s="20" t="s">
        <x:v>299</x:v>
      </x:c>
      <x:c r="B121" s="21" t="s">
        <x:v>300</x:v>
      </x:c>
      <x:c r="C121" s="24" t="s">
        <x:v>21</x:v>
      </x:c>
      <x:c r="D121" s="22" t="s">
        <x:v>301</x:v>
      </x:c>
    </x:row>
    <x:row r="122" ht="15.75" customHeight="1">
      <x:c r="A122" s="16" t="s">
        <x:v>302</x:v>
      </x:c>
      <x:c r="B122" s="17" t="s">
        <x:v>303</x:v>
      </x:c>
      <x:c r="C122" s="24" t="s">
        <x:v>21</x:v>
      </x:c>
      <x:c r="D122" s="19" t="s">
        <x:v>304</x:v>
      </x:c>
    </x:row>
    <x:row r="123" ht="15.75" customHeight="1">
      <x:c r="A123" s="20" t="s">
        <x:v>305</x:v>
      </x:c>
      <x:c r="B123" s="21" t="s">
        <x:v>306</x:v>
      </x:c>
      <x:c r="C123" s="24" t="s">
        <x:v>21</x:v>
      </x:c>
      <x:c r="D123" s="22" t="s">
        <x:v>307</x:v>
      </x:c>
    </x:row>
    <x:row r="124" ht="24" hidden="0" customHeight="1">
      <x:c r="A124" s="36" t="s">
        <x:v>308</x:v>
      </x:c>
      <x:c r="B124" s="37" t="s">
        <x:v>309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310</x:v>
      </x:c>
      <x:c r="B125" s="2"/>
      <x:c r="C125" s="2"/>
      <x:c r="D125" s="3"/>
    </x:row>
    <x:row r="126" ht="15.75" customHeight="1">
      <x:c r="A126" s="32" t="s">
        <x:v>311</x:v>
      </x:c>
      <x:c r="B126" s="33" t="s">
        <x:v>312</x:v>
      </x:c>
      <x:c r="C126" s="39" t="s">
        <x:v>21</x:v>
      </x:c>
      <x:c r="D126" s="35" t="s">
        <x:v>313</x:v>
      </x:c>
    </x:row>
    <x:row r="127" ht="15.75" customHeight="1">
      <x:c r="A127" s="20" t="s">
        <x:v>314</x:v>
      </x:c>
      <x:c r="B127" s="21" t="s">
        <x:v>315</x:v>
      </x:c>
      <x:c r="C127" s="24" t="s">
        <x:v>21</x:v>
      </x:c>
      <x:c r="D127" s="22" t="s">
        <x:v>316</x:v>
      </x:c>
    </x:row>
    <x:row r="128" ht="15.75" customHeight="1">
      <x:c r="A128" s="16" t="s">
        <x:v>317</x:v>
      </x:c>
      <x:c r="B128" s="17" t="s">
        <x:v>318</x:v>
      </x:c>
      <x:c r="C128" s="24" t="s">
        <x:v>21</x:v>
      </x:c>
      <x:c r="D128" s="19" t="s">
        <x:v>319</x:v>
      </x:c>
    </x:row>
    <x:row r="129" ht="15.75" customHeight="1">
      <x:c r="A129" s="20" t="s">
        <x:v>320</x:v>
      </x:c>
      <x:c r="B129" s="21" t="s">
        <x:v>321</x:v>
      </x:c>
      <x:c r="C129" s="24" t="s">
        <x:v>21</x:v>
      </x:c>
      <x:c r="D129" s="22" t="s">
        <x:v>322</x:v>
      </x:c>
    </x:row>
    <x:row r="130" ht="15.75" customHeight="1">
      <x:c r="A130" s="16" t="s">
        <x:v>323</x:v>
      </x:c>
      <x:c r="B130" s="17" t="s">
        <x:v>324</x:v>
      </x:c>
      <x:c r="C130" s="24" t="s">
        <x:v>21</x:v>
      </x:c>
      <x:c r="D130" s="19" t="s">
        <x:v>325</x:v>
      </x:c>
    </x:row>
    <x:row r="131" ht="15" customHeight="1">
      <x:c r="A131" s="20" t="s">
        <x:v>326</x:v>
      </x:c>
      <x:c r="B131" s="21" t="s">
        <x:v>327</x:v>
      </x:c>
      <x:c r="C131" s="24" t="s">
        <x:v>21</x:v>
      </x:c>
      <x:c r="D131" s="22" t="s">
        <x:v>328</x:v>
      </x:c>
    </x:row>
    <x:row r="132" ht="15.75" customHeight="1">
      <x:c r="A132" s="40" t="s">
        <x:v>329</x:v>
      </x:c>
      <x:c r="B132" s="41" t="s">
        <x:v>330</x:v>
      </x:c>
      <x:c r="C132" s="42" t="s">
        <x:v>26</x:v>
      </x:c>
      <x:c r="D132" s="43" t="s">
        <x:v>325</x:v>
      </x:c>
    </x:row>
    <x:row r="133" ht="15.75" customHeight="1">
      <x:c r="A133" s="15" t="s">
        <x:v>331</x:v>
      </x:c>
      <x:c r="B133" s="2"/>
      <x:c r="C133" s="2"/>
      <x:c r="D133" s="3"/>
    </x:row>
    <x:row r="134" ht="24" hidden="0" customHeight="1">
      <x:c r="A134" s="32" t="s">
        <x:v>332</x:v>
      </x:c>
      <x:c r="B134" s="33" t="s">
        <x:v>333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334</x:v>
      </x:c>
      <x:c r="B135" s="21" t="s">
        <x:v>335</x:v>
      </x:c>
      <x:c r="C135" s="24" t="s">
        <x:v>21</x:v>
      </x:c>
      <x:c r="D135" s="22" t="s">
        <x:v>336</x:v>
      </x:c>
    </x:row>
    <x:row r="136" ht="15.75" customHeight="1">
      <x:c r="A136" s="16" t="s">
        <x:v>337</x:v>
      </x:c>
      <x:c r="B136" s="17" t="s">
        <x:v>338</x:v>
      </x:c>
      <x:c r="C136" s="24" t="s">
        <x:v>21</x:v>
      </x:c>
      <x:c r="D136" s="19" t="s">
        <x:v>339</x:v>
      </x:c>
    </x:row>
    <x:row r="137" ht="15.75" customHeight="1">
      <x:c r="A137" s="20" t="s">
        <x:v>340</x:v>
      </x:c>
      <x:c r="B137" s="21" t="s">
        <x:v>341</x:v>
      </x:c>
      <x:c r="C137" s="24" t="s">
        <x:v>21</x:v>
      </x:c>
      <x:c r="D137" s="22" t="s">
        <x:v>325</x:v>
      </x:c>
    </x:row>
    <x:row r="138" ht="15.75" customHeight="1">
      <x:c r="A138" s="16" t="s">
        <x:v>342</x:v>
      </x:c>
      <x:c r="B138" s="17" t="s">
        <x:v>343</x:v>
      </x:c>
      <x:c r="C138" s="24" t="s">
        <x:v>21</x:v>
      </x:c>
      <x:c r="D138" s="19" t="s">
        <x:v>344</x:v>
      </x:c>
    </x:row>
    <x:row r="139" ht="15.75" customHeight="1">
      <x:c r="A139" s="20" t="s">
        <x:v>345</x:v>
      </x:c>
      <x:c r="B139" s="21" t="s">
        <x:v>346</x:v>
      </x:c>
      <x:c r="C139" s="24" t="s">
        <x:v>21</x:v>
      </x:c>
      <x:c r="D139" s="22" t="s">
        <x:v>347</x:v>
      </x:c>
    </x:row>
    <x:row r="140" ht="15.75" customHeight="1">
      <x:c r="A140" s="16" t="s">
        <x:v>348</x:v>
      </x:c>
      <x:c r="B140" s="17" t="s">
        <x:v>349</x:v>
      </x:c>
      <x:c r="C140" s="24" t="s">
        <x:v>21</x:v>
      </x:c>
      <x:c r="D140" s="19" t="s">
        <x:v>350</x:v>
      </x:c>
    </x:row>
    <x:row r="141" ht="15.75" customHeight="1">
      <x:c r="A141" s="20" t="s">
        <x:v>351</x:v>
      </x:c>
      <x:c r="B141" s="21" t="s">
        <x:v>352</x:v>
      </x:c>
      <x:c r="C141" s="24" t="s">
        <x:v>21</x:v>
      </x:c>
      <x:c r="D141" s="22" t="s">
        <x:v>353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354</x:v>
      </x:c>
      <x:c r="B1" s="14" t="s">
        <x:v>355</x:v>
      </x:c>
      <x:c r="C1" s="14" t="s">
        <x:v>356</x:v>
      </x:c>
      <x:c r="D1" s="14" t="s">
        <x:v>357</x:v>
      </x:c>
      <x:c r="E1" s="14" t="s">
        <x:v>4</x:v>
      </x:c>
      <x:c r="F1" s="14" t="s">
        <x:v>358</x:v>
      </x:c>
    </x:row>
    <x:row r="2">
      <x:c r="A2" s="20" t="s">
        <x:v>359</x:v>
      </x:c>
      <x:c r="B2" s="21" t="s">
        <x:v>360</x:v>
      </x:c>
      <x:c r="C2" s="21" t="s">
        <x:v>361</x:v>
      </x:c>
      <x:c r="D2" s="21" t="s">
        <x:v>362</x:v>
      </x:c>
      <x:c r="E2" s="24" t="s">
        <x:v>21</x:v>
      </x:c>
      <x:c r="F2" s="21" t="s">
        <x:v>363</x:v>
      </x:c>
    </x:row>
    <x:row r="3">
      <x:c r="A3" s="16" t="s">
        <x:v>364</x:v>
      </x:c>
      <x:c r="B3" s="17" t="s">
        <x:v>360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362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365</x:v>
      </x:c>
      <x:c r="B4" s="21" t="s">
        <x:v>366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367</x:v>
      </x:c>
      <x:c r="B5" s="17" t="s">
        <x:v>366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368</x:v>
      </x:c>
      <x:c r="B6" s="21" t="s">
        <x:v>369</x:v>
      </x:c>
      <x:c r="C6" s="21" t="s">
        <x:v>370</x:v>
      </x:c>
      <x:c r="D6" s="21" t="s">
        <x:v>362</x:v>
      </x:c>
      <x:c r="E6" s="24" t="s">
        <x:v>21</x:v>
      </x:c>
      <x:c r="F6" s="21" t="s">
        <x:v>363</x:v>
      </x:c>
    </x:row>
    <x:row r="7">
      <x:c r="A7" s="16" t="s">
        <x:v>371</x:v>
      </x:c>
      <x:c r="B7" s="17" t="s">
        <x:v>372</x:v>
      </x:c>
      <x:c r="C7" s="17" t="s">
        <x:v>373</x:v>
      </x:c>
      <x:c r="D7" s="17" t="s">
        <x:v>374</x:v>
      </x:c>
      <x:c r="E7" s="24" t="s">
        <x:v>21</x:v>
      </x:c>
      <x:c r="F7" s="17" t="s">
        <x:v>363</x:v>
      </x:c>
    </x:row>
    <x:row r="8">
      <x:c r="A8" s="20" t="s">
        <x:v>375</x:v>
      </x:c>
      <x:c r="B8" s="21" t="s">
        <x:v>376</x:v>
      </x:c>
      <x:c r="C8" s="21" t="s">
        <x:v>377</x:v>
      </x:c>
      <x:c r="D8" s="21" t="s">
        <x:v>374</x:v>
      </x:c>
      <x:c r="E8" s="24" t="s">
        <x:v>21</x:v>
      </x:c>
      <x:c r="F8" s="21" t="s">
        <x:v>378</x:v>
      </x:c>
    </x:row>
    <x:row r="9">
      <x:c r="A9" s="16" t="s">
        <x:v>379</x:v>
      </x:c>
      <x:c r="B9" s="17" t="s">
        <x:v>360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380</x:v>
      </x:c>
      <x:c r="B10" s="21" t="s">
        <x:v>366</x:v>
      </x:c>
      <x:c r="C10" s="21" t="s">
        <x:v>381</x:v>
      </x:c>
      <x:c r="D10" s="21" t="s">
        <x:v>362</x:v>
      </x:c>
      <x:c r="E10" s="24" t="s">
        <x:v>21</x:v>
      </x:c>
      <x:c r="F10" s="21" t="s">
        <x:v>382</x:v>
      </x:c>
    </x:row>
    <x:row r="11">
      <x:c r="A11" s="16" t="s">
        <x:v>383</x:v>
      </x:c>
      <x:c r="B11" s="17" t="s">
        <x:v>366</x:v>
      </x:c>
      <x:c r="C11" s="17" t="s">
        <x:v>384</x:v>
      </x:c>
      <x:c r="D11" s="17" t="s">
        <x:v>362</x:v>
      </x:c>
      <x:c r="E11" s="24" t="s">
        <x:v>21</x:v>
      </x:c>
      <x:c r="F11" s="17" t="s">
        <x:v>385</x:v>
      </x:c>
    </x:row>
    <x:row r="12">
      <x:c r="A12" s="20" t="s">
        <x:v>386</x:v>
      </x:c>
      <x:c r="B12" s="21" t="s">
        <x:v>387</x:v>
      </x:c>
      <x:c r="C12" s="21" t="s">
        <x:v>388</x:v>
      </x:c>
      <x:c r="D12" s="21" t="s">
        <x:v>362</x:v>
      </x:c>
      <x:c r="E12" s="24" t="s">
        <x:v>21</x:v>
      </x:c>
      <x:c r="F12" s="21" t="s">
        <x:v>389</x:v>
      </x:c>
    </x:row>
    <x:row r="13">
      <x:c r="A13" s="16" t="s">
        <x:v>390</x:v>
      </x:c>
      <x:c r="B13" s="17" t="s">
        <x:v>391</x:v>
      </x:c>
      <x:c r="C13" s="17" t="s">
        <x:v>392</x:v>
      </x:c>
      <x:c r="D13" s="17" t="s">
        <x:v>393</x:v>
      </x:c>
      <x:c r="E13" s="24" t="s">
        <x:v>21</x:v>
      </x:c>
      <x:c r="F13" s="17" t="s">
        <x:v>394</x:v>
      </x:c>
    </x:row>
    <x:row r="14">
      <x:c r="A14" s="20" t="s">
        <x:v>395</x:v>
      </x:c>
      <x:c r="B14" s="21" t="s">
        <x:v>396</x:v>
      </x:c>
      <x:c r="C14" s="21" t="s">
        <x:v>397</x:v>
      </x:c>
      <x:c r="D14" s="21" t="s">
        <x:v>374</x:v>
      </x:c>
      <x:c r="E14" s="24" t="s">
        <x:v>21</x:v>
      </x:c>
      <x:c r="F14" s="21" t="s">
        <x:v>398</x:v>
      </x:c>
    </x:row>
    <x:row r="15">
      <x:c r="A15" s="45" t="s">
        <x:v>399</x:v>
      </x:c>
      <x:c r="B15" s="46" t="s">
        <x:v>400</x:v>
      </x:c>
      <x:c r="C15" s="47" t="s">
        <x:v>401</x:v>
      </x:c>
      <x:c r="D15" s="46" t="s">
        <x:v>362</x:v>
      </x:c>
      <x:c r="E15" s="48" t="s">
        <x:v>21</x:v>
      </x:c>
      <x:c r="F15" s="47" t="s">
        <x:v>402</x:v>
      </x:c>
    </x:row>
    <x:row r="16">
      <x:c r="A16" s="49" t="s">
        <x:v>403</x:v>
      </x:c>
      <x:c r="B16" s="50" t="s">
        <x:v>404</x:v>
      </x:c>
      <x:c r="C16" s="51" t="s">
        <x:v>405</x:v>
      </x:c>
      <x:c r="D16" s="50" t="s">
        <x:v>374</x:v>
      </x:c>
      <x:c r="E16" s="48" t="s">
        <x:v>21</x:v>
      </x:c>
      <x:c r="F16" s="51" t="s">
        <x:v>406</x:v>
      </x:c>
    </x:row>
    <x:row r="17">
      <x:c r="A17" s="52" t="s">
        <x:v>407</x:v>
      </x:c>
      <x:c r="B17" s="53" t="s">
        <x:v>376</x:v>
      </x:c>
      <x:c r="C17" s="54" t="s">
        <x:v>408</x:v>
      </x:c>
      <x:c r="D17" s="53" t="s">
        <x:v>374</x:v>
      </x:c>
      <x:c r="E17" s="48" t="s">
        <x:v>21</x:v>
      </x:c>
      <x:c r="F17" s="54" t="s">
        <x:v>409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410</x:v>
      </x:c>
      <x:c r="B1" s="3"/>
    </x:row>
    <x:row r="3">
      <x:c r="A3" s="14" t="s">
        <x:v>411</x:v>
      </x:c>
      <x:c r="B3" s="14" t="s">
        <x:v>412</x:v>
      </x:c>
    </x:row>
    <x:row r="4" ht="15" hidden="0" customHeight="1">
      <x:c r="A4" s="55" t="s">
        <x:v>413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414</x:v>
      </x:c>
      <x:c r="B5" s="58" t="s">
        <x:v>415</x:v>
      </x:c>
    </x:row>
    <x:row r="6">
      <x:c r="A6" s="55" t="s">
        <x:v>416</x:v>
      </x:c>
      <x:c r="B6" s="56" t="s">
        <x:v>417</x:v>
      </x:c>
    </x:row>
    <x:row r="7">
      <x:c r="A7" s="57" t="s">
        <x:v>418</x:v>
      </x:c>
      <x:c r="B7" s="58" t="s">
        <x:v>419</x:v>
      </x:c>
    </x:row>
    <x:row r="8">
      <x:c r="A8" s="55" t="s">
        <x:v>420</x:v>
      </x:c>
      <x:c r="B8" s="56" t="s">
        <x:v>421</x:v>
      </x:c>
    </x:row>
    <x:row r="9">
      <x:c r="A9" s="57" t="s">
        <x:v>422</x:v>
      </x:c>
      <x:c r="B9" s="58" t="s">
        <x:v>423</x:v>
      </x:c>
    </x:row>
    <x:row r="10">
      <x:c r="A10" s="55" t="s">
        <x:v>424</x:v>
      </x:c>
      <x:c r="B10" s="56" t="s">
        <x:v>425</x:v>
      </x:c>
    </x:row>
    <x:row r="11">
      <x:c r="A11" s="57" t="s">
        <x:v>426</x:v>
      </x:c>
      <x:c r="B11" s="58" t="s">
        <x:v>427</x:v>
      </x:c>
    </x:row>
    <x:row r="12">
      <x:c r="A12" s="55" t="s">
        <x:v>428</x:v>
      </x:c>
      <x:c r="B12" s="56" t="s">
        <x:v>429</x:v>
      </x:c>
    </x:row>
    <x:row r="13">
      <x:c r="A13" s="57" t="s">
        <x:v>430</x:v>
      </x:c>
      <x:c r="B13" s="58" t="s">
        <x:v>431</x:v>
      </x:c>
    </x:row>
    <x:row r="14">
      <x:c r="A14" s="55" t="s">
        <x:v>432</x:v>
      </x:c>
      <x:c r="B14" s="56" t="s">
        <x:v>433</x:v>
      </x:c>
    </x:row>
    <x:row r="15">
      <x:c r="A15" s="57" t="s">
        <x:v>434</x:v>
      </x:c>
      <x:c r="B15" s="58" t="s">
        <x:v>435</x:v>
      </x:c>
    </x:row>
    <x:row r="17">
      <x:c r="A17" s="5" t="s">
        <x:v>436</x:v>
      </x:c>
    </x:row>
    <x:row r="18">
      <x:c r="A18" s="59" t="s">
        <x:v>437</x:v>
      </x:c>
      <x:c r="B18" s="60" t="s">
        <x:v>438</x:v>
      </x:c>
    </x:row>
    <x:row r="19">
      <x:c r="A19" s="59" t="s">
        <x:v>437</x:v>
      </x:c>
      <x:c r="B19" s="60" t="s">
        <x:v>439</x:v>
      </x:c>
    </x:row>
    <x:row r="20">
      <x:c r="A20" s="59" t="s">
        <x:v>437</x:v>
      </x:c>
      <x:c r="B20" s="60" t="s">
        <x:v>440</x:v>
      </x:c>
    </x:row>
    <x:row r="21" ht="15.75" customHeight="1">
      <x:c r="A21" s="59" t="s">
        <x:v>437</x:v>
      </x:c>
      <x:c r="B21" s="60" t="s">
        <x:v>441</x:v>
      </x:c>
    </x:row>
    <x:row r="22" ht="15.75" customHeight="1">
      <x:c r="A22" s="59" t="s">
        <x:v>437</x:v>
      </x:c>
      <x:c r="B22" s="60" t="s">
        <x:v>442</x:v>
      </x:c>
    </x:row>
    <x:row r="23" ht="15.75" customHeight="1">
      <x:c r="A23" s="59" t="s">
        <x:v>437</x:v>
      </x:c>
      <x:c r="B23" s="60" t="s">
        <x:v>443</x:v>
      </x:c>
    </x:row>
    <x:row r="24" ht="15.75" customHeight="1">
      <x:c r="A24" s="59" t="s">
        <x:v>437</x:v>
      </x:c>
      <x:c r="B24" s="60" t="s">
        <x:v>444</x:v>
      </x:c>
    </x:row>
    <x:row r="25" ht="15.75" customHeight="1">
      <x:c r="A25" s="59" t="s">
        <x:v>437</x:v>
      </x:c>
      <x:c r="B25" s="60" t="s">
        <x:v>445</x:v>
      </x:c>
    </x:row>
    <x:row r="26" ht="15.75" customHeight="1">
      <x:c r="A26" s="59" t="s">
        <x:v>437</x:v>
      </x:c>
      <x:c r="B26" s="60" t="s">
        <x:v>446</x:v>
      </x:c>
    </x:row>
    <x:row r="27" ht="15.75" customHeight="1">
      <x:c r="A27" s="59" t="s">
        <x:v>437</x:v>
      </x:c>
      <x:c r="B27" s="60" t="s">
        <x:v>447</x:v>
      </x:c>
    </x:row>
    <x:row r="28" ht="15.75" customHeight="1">
      <x:c r="A28" s="59" t="s">
        <x:v>437</x:v>
      </x:c>
      <x:c r="B28" s="60" t="s">
        <x:v>448</x:v>
      </x:c>
    </x:row>
    <x:row r="29" ht="15.75" customHeight="1">
      <x:c r="A29" s="59" t="s">
        <x:v>437</x:v>
      </x:c>
      <x:c r="B29" s="60" t="s">
        <x:v>449</x:v>
      </x:c>
    </x:row>
    <x:row r="30" ht="15.75" customHeight="1">
      <x:c r="A30" s="59" t="s">
        <x:v>437</x:v>
      </x:c>
      <x:c r="B30" s="60" t="s">
        <x:v>450</x:v>
      </x:c>
    </x:row>
    <x:row r="31" ht="39.599998474121094" hidden="0" customHeight="1">
      <x:c r="A31" s="59" t="s">
        <x:v>437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437</x:v>
      </x:c>
      <x:c r="B32" s="60" t="s">
        <x:v>451</x:v>
      </x:c>
    </x:row>
    <x:row r="33" ht="15.75" customHeight="1">
      <x:c r="A33" s="59" t="s">
        <x:v>437</x:v>
      </x:c>
      <x:c r="B33" s="60" t="s">
        <x:v>452</x:v>
      </x:c>
    </x:row>
    <x:row r="34" ht="15.75" customHeight="1">
      <x:c r="A34" s="59" t="s">
        <x:v>437</x:v>
      </x:c>
      <x:c r="B34" s="60" t="s">
        <x:v>453</x:v>
      </x:c>
    </x:row>
    <x:row r="35" ht="15.75" customHeight="1">
      <x:c r="A35" s="59" t="s">
        <x:v>437</x:v>
      </x:c>
      <x:c r="B35" s="60" t="s">
        <x:v>454</x:v>
      </x:c>
    </x:row>
    <x:row r="36" ht="15.75" customHeight="1">
      <x:c r="A36" s="59" t="s">
        <x:v>437</x:v>
      </x:c>
      <x:c r="B36" s="60" t="s">
        <x:v>455</x:v>
      </x:c>
    </x:row>
    <x:row r="37" ht="15.75" customHeight="1">
      <x:c r="A37" s="59" t="s">
        <x:v>437</x:v>
      </x:c>
      <x:c r="B37" s="60" t="s">
        <x:v>456</x:v>
      </x:c>
    </x:row>
    <x:row r="38" ht="15.75" customHeight="1">
      <x:c r="A38" s="59" t="s">
        <x:v>437</x:v>
      </x:c>
      <x:c r="B38" s="60" t="s">
        <x:v>457</x:v>
      </x:c>
    </x:row>
    <x:row r="39" ht="15.75" customHeight="1">
      <x:c r="A39" s="59" t="s">
        <x:v>437</x:v>
      </x:c>
      <x:c r="B39" s="60" t="s">
        <x:v>458</x:v>
      </x:c>
    </x:row>
    <x:row r="40" ht="15.75" customHeight="1">
      <x:c r="A40" s="59" t="s">
        <x:v>437</x:v>
      </x:c>
      <x:c r="B40" s="60" t="s">
        <x:v>459</x:v>
      </x:c>
    </x:row>
    <x:row r="41" ht="15.75" customHeight="1">
      <x:c r="A41" s="59" t="s">
        <x:v>437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42" customHeight="1">
      <x:c r="A97" s="161" t="str">
        <x:v>Historical/current boundary: rows 1–96 preserve the August 16 baseline; current operating notes begin below.</x:v>
      </x:c>
      <x:c r="B97" s="161"/>
    </x:row>
    <x:row r="98" ht="42" customHeight="1">
      <x:c r="A98" s="124" t="str">
        <x:v>📌 Tracker Operating Model — August 21, 2026</x:v>
      </x:c>
      <x:c r="B98" s="124"/>
    </x:row>
    <x:row r="99" ht="42" customHeight="1">
      <x:c r="A99" s="162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3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3" t="str">
        <x:v>Workflow</x:v>
      </x:c>
      <x:c r="B101" s="111" t="str">
        <x:v>Not Started, Ready, In Progress, In Review, Blocked, Done, Deferred.</x:v>
      </x:c>
    </x:row>
    <x:row r="102" ht="42" customHeight="1">
      <x:c r="A102" s="163" t="str">
        <x:v>Maturity</x:v>
      </x:c>
      <x:c r="B102" s="111" t="str">
        <x:v>Decision Locked means product scope or architecture direction only—never counsel-approved copy or provider approval. Workflow Done never automatically means Production-Ready.</x:v>
      </x:c>
    </x:row>
    <x:row r="103" ht="42" customHeight="1">
      <x:c r="A103" s="163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3" t="str">
        <x:v>Current focus</x:v>
      </x:c>
      <x:c r="B104" s="111" t="str">
        <x:v>PR #13 merged into dev as 6311522 and post-merge CI passed. Its fixed canary worker foundation is published, while Phase 2 remains partial and no product flow or deployment was added.</x:v>
      </x:c>
    </x:row>
    <x:row r="105" ht="42" customHeight="1">
      <x:c r="A105" s="163" t="str">
        <x:v>Phase 4</x:v>
      </x:c>
      <x:c r="B105" s="111" t="str">
        <x:v>Creator application and dormant non-approval review foundations are published; private operations identity/access, legal, provider, approval, role-promotion, and publishing gates remain open.</x:v>
      </x:c>
    </x:row>
    <x:row r="106" ht="42" customHeight="1">
      <x:c r="A106" s="163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3" t="str">
        <x:v>Last refreshed</x:v>
      </x:c>
      <x:c r="B107" s="111" t="str">
        <x:v>2026-08-21 by Codex during the authorized post-merge tracker and status reconciliation.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7:B97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460</x:v>
      </x:c>
      <x:c r="B1" s="2"/>
      <x:c r="C1" s="2"/>
      <x:c r="D1" s="2"/>
      <x:c r="E1" s="2"/>
      <x:c r="F1" s="2"/>
      <x:c r="G1" s="2"/>
      <x:c r="H1" s="3"/>
    </x:row>
    <x:row r="2">
      <x:c r="A2" s="13" t="s">
        <x:v>461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462</x:v>
      </x:c>
      <x:c r="B3" s="68" t="s">
        <x:v>355</x:v>
      </x:c>
      <x:c r="C3" s="68" t="s">
        <x:v>463</x:v>
      </x:c>
      <x:c r="D3" s="68" t="s">
        <x:v>464</x:v>
      </x:c>
      <x:c r="E3" s="68" t="s">
        <x:v>465</x:v>
      </x:c>
      <x:c r="F3" s="68" t="s">
        <x:v>466</x:v>
      </x:c>
      <x:c r="G3" s="68" t="s">
        <x:v>4</x:v>
      </x:c>
      <x:c r="H3" s="68" t="s">
        <x:v>5</x:v>
      </x:c>
    </x:row>
    <x:row r="4" ht="25.5" customHeight="1">
      <x:c r="A4" s="15" t="s">
        <x:v>467</x:v>
      </x:c>
      <x:c r="B4" s="2"/>
      <x:c r="C4" s="2"/>
      <x:c r="D4" s="2"/>
      <x:c r="E4" s="2"/>
      <x:c r="F4" s="2"/>
      <x:c r="G4" s="2"/>
      <x:c r="H4" s="3"/>
    </x:row>
    <x:row r="5">
      <x:c r="A5" s="16" t="s">
        <x:v>468</x:v>
      </x:c>
      <x:c r="B5" s="17" t="s">
        <x:v>469</x:v>
      </x:c>
      <x:c r="C5" s="17" t="s">
        <x:v>470</x:v>
      </x:c>
      <x:c r="D5" s="17">
        <x:v>500.0</x:v>
      </x:c>
      <x:c r="E5" s="17"/>
      <x:c r="F5" s="17" t="s">
        <x:v>471</x:v>
      </x:c>
      <x:c r="G5" s="24" t="s">
        <x:v>472</x:v>
      </x:c>
      <x:c r="H5" s="17" t="s">
        <x:v>473</x:v>
      </x:c>
    </x:row>
    <x:row r="6">
      <x:c r="A6" s="20" t="s">
        <x:v>474</x:v>
      </x:c>
      <x:c r="B6" s="21" t="s">
        <x:v>469</x:v>
      </x:c>
      <x:c r="C6" s="21" t="s">
        <x:v>470</x:v>
      </x:c>
      <x:c r="D6" s="21">
        <x:v>500.0</x:v>
      </x:c>
      <x:c r="E6" s="21"/>
      <x:c r="F6" s="21" t="s">
        <x:v>471</x:v>
      </x:c>
      <x:c r="G6" s="24" t="s">
        <x:v>472</x:v>
      </x:c>
      <x:c r="H6" s="21" t="s">
        <x:v>475</x:v>
      </x:c>
    </x:row>
    <x:row r="7">
      <x:c r="A7" s="16" t="s">
        <x:v>476</x:v>
      </x:c>
      <x:c r="B7" s="17" t="s">
        <x:v>469</x:v>
      </x:c>
      <x:c r="C7" s="17" t="s">
        <x:v>470</x:v>
      </x:c>
      <x:c r="D7" s="17">
        <x:v>0.0</x:v>
      </x:c>
      <x:c r="E7" s="17"/>
      <x:c r="F7" s="17" t="s">
        <x:v>471</x:v>
      </x:c>
      <x:c r="G7" s="24" t="s">
        <x:v>472</x:v>
      </x:c>
      <x:c r="H7" s="17" t="s">
        <x:v>477</x:v>
      </x:c>
    </x:row>
    <x:row r="8">
      <x:c r="A8" s="20" t="s">
        <x:v>478</x:v>
      </x:c>
      <x:c r="B8" s="21" t="s">
        <x:v>479</x:v>
      </x:c>
      <x:c r="C8" s="21" t="s">
        <x:v>470</x:v>
      </x:c>
      <x:c r="D8" s="21">
        <x:v>350.0</x:v>
      </x:c>
      <x:c r="E8" s="21"/>
      <x:c r="F8" s="21" t="s">
        <x:v>471</x:v>
      </x:c>
      <x:c r="G8" s="24" t="s">
        <x:v>472</x:v>
      </x:c>
      <x:c r="H8" s="21" t="s">
        <x:v>480</x:v>
      </x:c>
    </x:row>
    <x:row r="9">
      <x:c r="A9" s="16" t="s">
        <x:v>481</x:v>
      </x:c>
      <x:c r="B9" s="17" t="s">
        <x:v>479</x:v>
      </x:c>
      <x:c r="C9" s="17" t="s">
        <x:v>470</x:v>
      </x:c>
      <x:c r="D9" s="17">
        <x:v>350.0</x:v>
      </x:c>
      <x:c r="E9" s="17"/>
      <x:c r="F9" s="17" t="s">
        <x:v>471</x:v>
      </x:c>
      <x:c r="G9" s="24" t="s">
        <x:v>472</x:v>
      </x:c>
      <x:c r="H9" s="17" t="s">
        <x:v>482</x:v>
      </x:c>
    </x:row>
    <x:row r="10">
      <x:c r="A10" s="41" t="inlineStr">
        <x:is>
          <x:t xml:space="preserve">LLC Formation (state TBD)</x:t>
        </x:is>
      </x:c>
      <x:c r="B10" s="21" t="s">
        <x:v>479</x:v>
      </x:c>
      <x:c r="C10" s="21" t="s">
        <x:v>470</x:v>
      </x:c>
      <x:c r="D10" s="21">
        <x:v>155.0</x:v>
      </x:c>
      <x:c r="E10" s="21"/>
      <x:c r="F10" s="21" t="s">
        <x:v>471</x:v>
      </x:c>
      <x:c r="G10" s="24" t="s">
        <x:v>472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483</x:v>
      </x:c>
      <x:c r="B11" s="21" t="s">
        <x:v>479</x:v>
      </x:c>
      <x:c r="C11" s="21" t="s">
        <x:v>470</x:v>
      </x:c>
      <x:c r="D11" s="26">
        <x:v>125.0</x:v>
      </x:c>
      <x:c r="E11" s="21"/>
      <x:c r="F11" s="21" t="s">
        <x:v>471</x:v>
      </x:c>
      <x:c r="G11" s="24" t="s">
        <x:v>472</x:v>
      </x:c>
      <x:c r="H11" s="26" t="s">
        <x:v>484</x:v>
      </x:c>
    </x:row>
    <x:row r="12">
      <x:c r="A12" s="16" t="s">
        <x:v>485</x:v>
      </x:c>
      <x:c r="B12" s="17" t="s">
        <x:v>479</x:v>
      </x:c>
      <x:c r="C12" s="17" t="s">
        <x:v>486</x:v>
      </x:c>
      <x:c r="D12" s="17">
        <x:v>125.0</x:v>
      </x:c>
      <x:c r="E12" s="17"/>
      <x:c r="F12" s="17" t="s">
        <x:v>487</x:v>
      </x:c>
      <x:c r="G12" s="24" t="s">
        <x:v>472</x:v>
      </x:c>
      <x:c r="H12" s="17" t="s">
        <x:v>488</x:v>
      </x:c>
    </x:row>
    <x:row r="13">
      <x:c r="A13" s="20" t="s">
        <x:v>489</x:v>
      </x:c>
      <x:c r="B13" s="21" t="s">
        <x:v>490</x:v>
      </x:c>
      <x:c r="C13" s="21" t="s">
        <x:v>486</x:v>
      </x:c>
      <x:c r="D13" s="21">
        <x:v>15.0</x:v>
      </x:c>
      <x:c r="E13" s="21"/>
      <x:c r="F13" s="21" t="s">
        <x:v>487</x:v>
      </x:c>
      <x:c r="G13" s="24" t="s">
        <x:v>472</x:v>
      </x:c>
      <x:c r="H13" s="21" t="s">
        <x:v>491</x:v>
      </x:c>
    </x:row>
    <x:row r="14" ht="16.5" customHeight="1">
      <x:c r="A14" s="16" t="s">
        <x:v>492</x:v>
      </x:c>
      <x:c r="B14" s="17" t="s">
        <x:v>490</x:v>
      </x:c>
      <x:c r="C14" s="17" t="s">
        <x:v>486</x:v>
      </x:c>
      <x:c r="D14" s="17">
        <x:v>30.0</x:v>
      </x:c>
      <x:c r="E14" s="17"/>
      <x:c r="F14" s="17" t="s">
        <x:v>487</x:v>
      </x:c>
      <x:c r="G14" s="24" t="s">
        <x:v>472</x:v>
      </x:c>
      <x:c r="H14" s="17" t="s">
        <x:v>493</x:v>
      </x:c>
    </x:row>
    <x:row r="15">
      <x:c r="A15" s="15" t="s">
        <x:v>494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495</x:v>
      </x:c>
      <x:c r="B16" s="33" t="s">
        <x:v>490</x:v>
      </x:c>
      <x:c r="C16" s="33" t="s">
        <x:v>496</x:v>
      </x:c>
      <x:c r="D16" s="33">
        <x:v>18.0</x:v>
      </x:c>
      <x:c r="E16" s="33"/>
      <x:c r="F16" s="33" t="s">
        <x:v>496</x:v>
      </x:c>
      <x:c r="G16" s="39" t="s">
        <x:v>472</x:v>
      </x:c>
      <x:c r="H16" s="33" t="s">
        <x:v>497</x:v>
      </x:c>
    </x:row>
    <x:row r="17">
      <x:c r="A17" s="20" t="s">
        <x:v>498</x:v>
      </x:c>
      <x:c r="B17" s="21" t="s">
        <x:v>490</x:v>
      </x:c>
      <x:c r="C17" s="21" t="s">
        <x:v>496</x:v>
      </x:c>
      <x:c r="D17" s="21">
        <x:v>0.0</x:v>
      </x:c>
      <x:c r="E17" s="21"/>
      <x:c r="F17" s="21" t="s">
        <x:v>496</x:v>
      </x:c>
      <x:c r="G17" s="24" t="s">
        <x:v>472</x:v>
      </x:c>
      <x:c r="H17" s="21" t="s">
        <x:v>499</x:v>
      </x:c>
    </x:row>
    <x:row r="18">
      <x:c r="A18" s="16" t="s">
        <x:v>500</x:v>
      </x:c>
      <x:c r="B18" s="17" t="s">
        <x:v>490</x:v>
      </x:c>
      <x:c r="C18" s="17" t="s">
        <x:v>496</x:v>
      </x:c>
      <x:c r="D18" s="17">
        <x:v>0.0</x:v>
      </x:c>
      <x:c r="E18" s="17"/>
      <x:c r="F18" s="17" t="s">
        <x:v>496</x:v>
      </x:c>
      <x:c r="G18" s="24" t="s">
        <x:v>472</x:v>
      </x:c>
      <x:c r="H18" s="17" t="s">
        <x:v>501</x:v>
      </x:c>
    </x:row>
    <x:row r="19">
      <x:c r="A19" s="20" t="s">
        <x:v>502</x:v>
      </x:c>
      <x:c r="B19" s="21" t="s">
        <x:v>490</x:v>
      </x:c>
      <x:c r="C19" s="21" t="s">
        <x:v>496</x:v>
      </x:c>
      <x:c r="D19" s="21">
        <x:v>0.0</x:v>
      </x:c>
      <x:c r="E19" s="21"/>
      <x:c r="F19" s="21" t="s">
        <x:v>496</x:v>
      </x:c>
      <x:c r="G19" s="24" t="s">
        <x:v>472</x:v>
      </x:c>
      <x:c r="H19" s="21" t="s">
        <x:v>503</x:v>
      </x:c>
    </x:row>
    <x:row r="20">
      <x:c r="A20" s="16" t="s">
        <x:v>504</x:v>
      </x:c>
      <x:c r="B20" s="17" t="s">
        <x:v>490</x:v>
      </x:c>
      <x:c r="C20" s="17" t="s">
        <x:v>496</x:v>
      </x:c>
      <x:c r="D20" s="17">
        <x:v>0.0</x:v>
      </x:c>
      <x:c r="E20" s="17"/>
      <x:c r="F20" s="17" t="s">
        <x:v>496</x:v>
      </x:c>
      <x:c r="G20" s="24" t="s">
        <x:v>472</x:v>
      </x:c>
      <x:c r="H20" s="17" t="s">
        <x:v>505</x:v>
      </x:c>
    </x:row>
    <x:row r="21" ht="15.75" customHeight="1">
      <x:c r="A21" s="20" t="s">
        <x:v>506</x:v>
      </x:c>
      <x:c r="B21" s="21" t="s">
        <x:v>490</x:v>
      </x:c>
      <x:c r="C21" s="21" t="s">
        <x:v>496</x:v>
      </x:c>
      <x:c r="D21" s="21">
        <x:v>0.0</x:v>
      </x:c>
      <x:c r="E21" s="21"/>
      <x:c r="F21" s="21" t="s">
        <x:v>496</x:v>
      </x:c>
      <x:c r="G21" s="24" t="s">
        <x:v>472</x:v>
      </x:c>
      <x:c r="H21" s="21" t="s">
        <x:v>507</x:v>
      </x:c>
    </x:row>
    <x:row r="22" ht="25.5" customHeight="1">
      <x:c r="A22" s="36" t="s">
        <x:v>508</x:v>
      </x:c>
      <x:c r="B22" s="37" t="s">
        <x:v>490</x:v>
      </x:c>
      <x:c r="C22" s="37" t="s">
        <x:v>496</x:v>
      </x:c>
      <x:c r="D22" s="37">
        <x:v>0.0</x:v>
      </x:c>
      <x:c r="E22" s="37"/>
      <x:c r="F22" s="37" t="s">
        <x:v>496</x:v>
      </x:c>
      <x:c r="G22" s="30" t="s">
        <x:v>472</x:v>
      </x:c>
      <x:c r="H22" s="37" t="s">
        <x:v>509</x:v>
      </x:c>
    </x:row>
    <x:row r="23" ht="15.75" customHeight="1">
      <x:c r="A23" s="15" t="s">
        <x:v>510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511</x:v>
      </x:c>
      <x:c r="B24" s="33" t="s">
        <x:v>469</x:v>
      </x:c>
      <x:c r="C24" s="33" t="s">
        <x:v>512</x:v>
      </x:c>
      <x:c r="D24" s="33">
        <x:v>0.0</x:v>
      </x:c>
      <x:c r="E24" s="33"/>
      <x:c r="F24" s="33" t="s">
        <x:v>513</x:v>
      </x:c>
      <x:c r="G24" s="39" t="s">
        <x:v>514</x:v>
      </x:c>
      <x:c r="H24" s="33" t="s">
        <x:v>515</x:v>
      </x:c>
    </x:row>
    <x:row r="25" ht="15.75" customHeight="1">
      <x:c r="A25" s="20" t="s">
        <x:v>516</x:v>
      </x:c>
      <x:c r="B25" s="21" t="s">
        <x:v>469</x:v>
      </x:c>
      <x:c r="C25" s="21" t="s">
        <x:v>512</x:v>
      </x:c>
      <x:c r="D25" s="21">
        <x:v>0.0</x:v>
      </x:c>
      <x:c r="E25" s="21"/>
      <x:c r="F25" s="21" t="s">
        <x:v>513</x:v>
      </x:c>
      <x:c r="G25" s="24" t="s">
        <x:v>514</x:v>
      </x:c>
      <x:c r="H25" s="21" t="s">
        <x:v>517</x:v>
      </x:c>
    </x:row>
    <x:row r="26" ht="25.5" customHeight="1">
      <x:c r="A26" s="36" t="s">
        <x:v>518</x:v>
      </x:c>
      <x:c r="B26" s="37" t="s">
        <x:v>469</x:v>
      </x:c>
      <x:c r="C26" s="37" t="s">
        <x:v>512</x:v>
      </x:c>
      <x:c r="D26" s="37">
        <x:v>0.0</x:v>
      </x:c>
      <x:c r="E26" s="37"/>
      <x:c r="F26" s="37" t="s">
        <x:v>519</x:v>
      </x:c>
      <x:c r="G26" s="30" t="s">
        <x:v>514</x:v>
      </x:c>
      <x:c r="H26" s="37" t="s">
        <x:v>520</x:v>
      </x:c>
    </x:row>
    <x:row r="27" ht="15.75" customHeight="1">
      <x:c r="A27" s="15" t="s">
        <x:v>521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522</x:v>
      </x:c>
      <x:c r="B28" s="33" t="s">
        <x:v>469</x:v>
      </x:c>
      <x:c r="C28" s="33" t="s">
        <x:v>496</x:v>
      </x:c>
      <x:c r="D28" s="33">
        <x:v>0.0</x:v>
      </x:c>
      <x:c r="E28" s="33"/>
      <x:c r="F28" s="33" t="s">
        <x:v>496</x:v>
      </x:c>
      <x:c r="G28" s="39" t="s">
        <x:v>523</x:v>
      </x:c>
      <x:c r="H28" s="33" t="s">
        <x:v>524</x:v>
      </x:c>
    </x:row>
    <x:row r="29" ht="15.75" customHeight="1">
      <x:c r="A29" s="20" t="s">
        <x:v>525</x:v>
      </x:c>
      <x:c r="B29" s="21" t="s">
        <x:v>526</x:v>
      </x:c>
      <x:c r="C29" s="21" t="s">
        <x:v>496</x:v>
      </x:c>
      <x:c r="D29" s="21">
        <x:v>0.0</x:v>
      </x:c>
      <x:c r="E29" s="21"/>
      <x:c r="F29" s="21" t="s">
        <x:v>496</x:v>
      </x:c>
      <x:c r="G29" s="24" t="s">
        <x:v>523</x:v>
      </x:c>
      <x:c r="H29" s="21" t="s">
        <x:v>527</x:v>
      </x:c>
    </x:row>
    <x:row r="30" ht="15.75" customHeight="1">
      <x:c r="A30" s="16" t="s">
        <x:v>528</x:v>
      </x:c>
      <x:c r="B30" s="17" t="s">
        <x:v>479</x:v>
      </x:c>
      <x:c r="C30" s="17" t="s">
        <x:v>496</x:v>
      </x:c>
      <x:c r="D30" s="17">
        <x:v>0.0</x:v>
      </x:c>
      <x:c r="E30" s="17"/>
      <x:c r="F30" s="17" t="s">
        <x:v>496</x:v>
      </x:c>
      <x:c r="G30" s="24" t="s">
        <x:v>523</x:v>
      </x:c>
      <x:c r="H30" s="17" t="s">
        <x:v>529</x:v>
      </x:c>
    </x:row>
    <x:row r="31" ht="25.5" customHeight="1"/>
    <x:row r="32" ht="15.75" customHeight="1">
      <x:c r="A32" s="15" t="s">
        <x:v>530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531</x:v>
      </x:c>
      <x:c r="B33" s="69" t="n">
        <x:f>SUM(D5:D11)</x:f>
        <x:v>1980</x:v>
      </x:c>
    </x:row>
    <x:row r="34" ht="15.75" customHeight="1">
      <x:c r="A34" s="7" t="s">
        <x:v>532</x:v>
      </x:c>
      <x:c r="B34" s="70">
        <x:v>170.0</x:v>
      </x:c>
    </x:row>
    <x:row r="35" ht="15.75" customHeight="1">
      <x:c r="A35" s="6" t="s">
        <x:v>533</x:v>
      </x:c>
      <x:c r="B35" s="69">
        <x:v>18.0</x:v>
      </x:c>
    </x:row>
    <x:row r="36" ht="15.75" customHeight="1">
      <x:c r="A36" s="7" t="s">
        <x:v>534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535</x:v>
      </x:c>
      <x:c r="B1"/>
      <x:c r="C1"/>
      <x:c r="D1"/>
      <x:c r="E1"/>
      <x:c r="F1"/>
      <x:c r="G1"/>
    </x:row>
    <x:row r="2">
      <x:c r="A2" t="s">
        <x:v>536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537</x:v>
      </x:c>
      <x:c r="B4"/>
      <x:c r="C4"/>
      <x:c r="D4" t="s">
        <x:v>538</x:v>
      </x:c>
      <x:c r="E4"/>
      <x:c r="F4"/>
      <x:c r="G4"/>
    </x:row>
    <x:row r="5">
      <x:c r="A5" t="s">
        <x:v>539</x:v>
      </x:c>
      <x:c r="B5" t="n">
        <x:f>COUNTIF('Master Tracker'!C4:C164,"✅ Done")+COUNTIF('Master Tracker'!C4:C164,"🔄 In Progress")+COUNTIF('Master Tracker'!C4:C164,"📋 Not Started")</x:f>
        <x:v>148</x:v>
      </x:c>
      <x:c r="C5"/>
      <x:c r="D5" t="s">
        <x:v>540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20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50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78</x:v>
      </x:c>
      <x:c r="C8"/>
      <x:c r="D8"/>
      <x:c r="E8"/>
      <x:c r="F8"/>
      <x:c r="G8"/>
    </x:row>
    <x:row r="9">
      <x:c r="A9" t="s">
        <x:v>541</x:v>
      </x:c>
      <x:c r="B9" t="n">
        <x:f>IF(B5=0,0,B6/B5)</x:f>
        <x:v>0.13513513513513514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542</x:v>
      </x:c>
      <x:c r="B12"/>
      <x:c r="C12" t="s">
        <x:v>543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544</x:v>
      </x:c>
      <x:c r="D14"/>
      <x:c r="E14"/>
      <x:c r="F14"/>
      <x:c r="G14"/>
    </x:row>
    <x:row r="15">
      <x:c r="A15" t="s">
        <x:v>21</x:v>
      </x:c>
      <x:c r="B15"/>
      <x:c r="C15" t="s">
        <x:v>545</x:v>
      </x:c>
      <x:c r="D15"/>
      <x:c r="E15"/>
      <x:c r="F15"/>
      <x:c r="G15"/>
    </x:row>
    <x:row r="16">
      <x:c r="A16"/>
      <x:c r="B16"/>
      <x:c r="C16" t="s">
        <x:v>546</x:v>
      </x:c>
      <x:c r="D16"/>
      <x:c r="E16"/>
      <x:c r="F16"/>
      <x:c r="G16"/>
    </x:row>
    <x:row r="17">
      <x:c r="A17"/>
      <x:c r="B17"/>
      <x:c r="C17" t="s">
        <x:v>547</x:v>
      </x:c>
      <x:c r="D17"/>
      <x:c r="E17"/>
      <x:c r="F17"/>
      <x:c r="G17"/>
    </x:row>
    <x:row r="18">
      <x:c r="A18"/>
      <x:c r="B18"/>
      <x:c r="C18" t="s">
        <x:v>548</x:v>
      </x:c>
      <x:c r="D18"/>
      <x:c r="E18"/>
      <x:c r="F18"/>
      <x:c r="G18"/>
    </x:row>
    <x:row r="19">
      <x:c r="A19"/>
      <x:c r="B19"/>
      <x:c r="C19" t="s">
        <x:v>549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Review &amp; Blocker Queue,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PLAN phase gate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Supplemental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Legacy-mapped task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Published slice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>
        <x:v>Decision</x:v>
      </x:c>
      <x:c r="H10" s="111" t="str">
        <x:v>Deferred</x:v>
      </x:c>
    </x:row>
    <x:row r="11">
      <x:c r="A11" s="111" t="str">
        <x:v>P06</x:v>
      </x:c>
      <x:c r="B11" s="111" t="str">
        <x:v>Veso, payments, subscriptions, tipping, and PPV</x:v>
      </x:c>
      <x:c r="C11" s="111" t="str">
        <x:v>Deferred</x:v>
      </x:c>
      <x:c r="D11" s="111" t="str"/>
      <x:c r="E11" s="111" t="str"/>
      <x:c r="F11" s="111" t="str"/>
      <x:c r="G11" s="111" t="str">
        <x:v>Exit criterion</x:v>
      </x:c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Oasis/Drimy launch implementation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Product scope or architecture direction is approved; implementation may be absent. This never means counsel-approved copy, provider approval, or production readiness.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The preserved Year 1 expense total appears inconsistent; review separately before changing it.</x:v>
      </x:c>
    </x:row>
    <x:row r="32" ht="44" customHeight="1">
      <x:c r="A32" s="111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Record progress includes preserved legacy, PLAN, gate, and supplemental records. It is a navigation aid—not phase completion; Phase State is the canonical evidence-based PLAN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Records Done</x:v>
      </x:c>
      <x:c r="F3" s="98" t="str">
        <x:v>Execution Records</x:v>
      </x:c>
      <x:c r="G3" s="98" t="str">
        <x:v>Record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5</x:v>
      </x:c>
      <x:c r="F4" s="109" t="n">
        <x:f>COUNTIF('Delivery Tracker'!$B$4:$B$400,$A4)</x:f>
        <x:v>6</x:v>
      </x:c>
      <x:c r="G4" s="118" t="n">
        <x:f>IF(F4=0,0,E4/F4)</x:f>
        <x:v>0.8333333333333334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0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1</x:v>
      </x:c>
      <x:c r="L4" s="109" t="str">
        <x:v>Maintain the PLAN-aligned execution tracker, decision register, review queue, and daily debrief history.</x:v>
      </x:c>
      <x:c r="M4" s="109" t="str">
        <x:v>Assign and maintain owners and next-check dates for remaining active decisions; preserve legacy records.</x:v>
      </x:c>
      <x:c r="N4" s="109" t="str">
        <x:v>Clean baseline; tracker reflects reality; MVP approved; open decisions have an owner and date.</x:v>
      </x:c>
      <x:c r="O4" s="109" t="str">
        <x:v>https://github.com/QK-Connoisseur/PDoki/pull/13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3</x:v>
      </x:c>
      <x:c r="F5" s="111" t="n">
        <x:f>COUNTIF('Delivery Tracker'!$B$4:$B$400,$A5)</x:f>
        <x:v>8</x:v>
      </x:c>
      <x:c r="G5" s="119" t="n">
        <x:f>IF(F5=0,0,E5/F5)</x:f>
        <x:v>0.375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1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4</x:v>
      </x:c>
      <x:c r="F6" s="111" t="n">
        <x:f>COUNTIF('Delivery Tracker'!$B$4:$B$400,$A6)</x:f>
        <x:v>16</x:v>
      </x:c>
      <x:c r="G6" s="119" t="n">
        <x:f>IF(F6=0,0,E6/F6)</x:f>
        <x:v>0.25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0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PR #13 published the application-owned PostgreSQL worker foundation and fixed non-secret canary; no product flow uses it.</x:v>
      </x:c>
      <x:c r="M6" s="111" t="str">
        <x:v>Keep Phase 2 partial: staging, restore/backups, monitoring, Redis/shared throttling, general idempotency, and deployment remain open.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2</x:v>
      </x:c>
      <x:c r="F8" s="111" t="n">
        <x:f>COUNTIF('Delivery Tracker'!$B$4:$B$400,$A8)</x:f>
        <x:v>32</x:v>
      </x:c>
      <x:c r="G8" s="119" t="n">
        <x:f>IF(F8=0,0,E8/F8)</x:f>
        <x:v>0.0625</x:v>
      </x:c>
      <x:c r="H8" s="111" t="n">
        <x:f>COUNTIFS('Delivery Tracker'!$B$4:$B$400,$A8,'Delivery Tracker'!$H$4:$H$400,"In Progress")</x:f>
        <x:v>15</x:v>
      </x:c>
      <x:c r="I8" s="111" t="n">
        <x:f>COUNTIFS('Delivery Tracker'!$B$4:$B$400,$A8,'Delivery Tracker'!$H$4:$H$400,"In Review")</x:f>
        <x:v>0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15</x:v>
      </x:c>
      <x:c r="L8" s="111" t="str">
        <x:v>Creator application and dormant non-approval review foundations are published; activation remains blocked.</x:v>
      </x:c>
      <x:c r="M8" s="111" t="str">
        <x:v>Design and locally verify the private operator identity/access boundary; do not activate APPROVED.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https://github.com/QK-Connoisseur/PDoki/pull/1</x:v>
      </x:c>
      <x:c r="P8" s="112" t="n">
        <x:v>46255.666666666664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Not Started</x:v>
      </x:c>
      <x:c r="D9" s="111" t="str">
        <x:v>UI Prototype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2</x:v>
      </x:c>
      <x:c r="I9" s="111" t="n">
        <x:f>COUNTIFS('Delivery Tracker'!$B$4:$B$400,$A9,'Delivery Tracker'!$H$4:$H$400,"In Review")</x:f>
        <x:v>0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7</x:v>
      </x:c>
      <x:c r="L9" s="111" t="str">
        <x:v>UI seams exist; secure R2 upload, quarantine, moderation, entitlement, and signed delivery are absent.</x:v>
      </x:c>
      <x:c r="M9" s="111" t="str">
        <x:v>Approve the content/media domain and protected upload lifecycle after Phase 4 gates.</x:v>
      </x:c>
      <x:c r="N9" s="111" t="str">
        <x:v>Approved creators publish; unauthorized users cannot access originals; takedowns invalidate delivery.</x:v>
      </x:c>
      <x:c r="O9" s="111" t="str">
        <x:v>https://github.com/QK-Connoisseur/PDoki/blob/dev/PLAN.md#9-phase-5--media-pipeline-and-content-model</x:v>
      </x:c>
      <x:c r="P9" s="112" t="n">
        <x:v>46255.666666666664</x:v>
      </x:c>
    </x:row>
    <x:row r="10" ht="58" customHeight="1">
      <x:c r="A10" s="111" t="str">
        <x:v>P06</x:v>
      </x:c>
      <x:c r="B10" s="111" t="str">
        <x:v>Veso, payments, subscriptions, tipping, and PPV</x:v>
      </x:c>
      <x:c r="C10" s="111" t="str">
        <x:v>Not Started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20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5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15</x:v>
      </x:c>
      <x:c r="L10" s="111" t="str">
        <x:v>Veso direction and UI prototypes exist; processor, ledger, webhooks, and entitlements are not implemented.</x:v>
      </x:c>
      <x:c r="M10" s="111" t="str">
        <x:v>Founder/provider/counsel decisions on processor economics, refunds, payouts, and Veso terms.</x:v>
      </x:c>
      <x:c r="N10" s="111" t="str">
        <x:v>Recharge and ledger work; Store/Connect/tips/PPV consume Veso; webhooks drive subscriptions and reconciliation.</x:v>
      </x:c>
      <x:c r="O10" s="111" t="str">
        <x:v>https://github.com/QK-Connoisseur/PDoki/blob/dev/PLAN.md#10-phase-6--veso-payments-subscriptions-tipping-and-ppv</x:v>
      </x:c>
      <x:c r="P10" s="112" t="n">
        <x:v>46255.666666666664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Waiting on creator approval, media, payments, entitlement, and operations dependencies.</x:v>
      </x:c>
      <x:c r="M11" s="111" t="str">
        <x:v>Complete prerequisite Phase 4–6 controls before implementing the full member-to-creator flow.</x:v>
      </x:c>
      <x:c r="N11" s="111" t="str">
        <x:v>Complete automated member/creator/payment/content/audit flow with no manual DB edits.</x:v>
      </x:c>
      <x:c r="O11" s="111" t="str">
        <x:v>https://github.com/QK-Connoisseur/PDoki/blob/dev/PLAN.md#11-phase-7--core-end-to-end-vertical-slice</x:v>
      </x:c>
      <x:c r="P11" s="112" t="n">
        <x:v>46255.666666666664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Strong prototypes exist; real data, persistence, entitlement, and booking/purchase flows remain open.</x:v>
      </x:c>
      <x:c r="M12" s="111" t="str">
        <x:v>Integrate only after content, entitlement, and Veso foundations exist.</x:v>
      </x:c>
      <x:c r="N12" s="111" t="str">
        <x:v>Feed actions persist; Store reflects account data; Connect booking lifecycle works.</x:v>
      </x:c>
      <x:c r="O12" s="111" t="str">
        <x:v>https://github.com/QK-Connoisseur/PDoki/blob/dev/PLAN.md#12-phase-8--feed-social-actions-store-and-connect</x:v>
      </x:c>
      <x:c r="P12" s="112" t="n">
        <x:v>46255.666666666664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Chat UI and auth email infrastructure exist; WebSockets and persisted platform notifications remain open.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46255.666666666664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15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13</x:v>
      </x:c>
      <x:c r="L15" s="111" t="str">
        <x:v>Private shell and dormant review seam exist; production identity, hosting, permissions, and UI do not.</x:v>
      </x:c>
      <x:c r="M15" s="111" t="str">
        <x:v>Approve an isolated private-operations identity/access design and local/staging verification slice.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https://github.com/QK-Connoisseur/PDoki/blob/dev/docs/operations/README.md</x:v>
      </x:c>
      <x:c r="P15" s="112" t="n">
        <x:v>46255.666666666664</x:v>
      </x:c>
    </x:row>
    <x:row r="16" ht="58" customHeight="1">
      <x:c r="A16" s="111" t="str">
        <x:v>P12</x:v>
      </x:c>
      <x:c r="B16" s="111" t="str">
        <x:v>Oasis/Drimy launch implementation</x:v>
      </x:c>
      <x:c r="C16" s="111" t="str">
        <x:v>Partially Complete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1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1</x:v>
      </x:c>
      <x:c r="L16" s="111" t="str">
        <x:v>Client-only prototype exists; server-authoritative state, ledgers, cooldowns, and inventory are absent.</x:v>
      </x:c>
      <x:c r="M16" s="111" t="str">
        <x:v>Define server domains and reward rules after ledger/idempotency foundations.</x:v>
      </x:c>
      <x:c r="N16" s="111" t="str">
        <x:v>Progress survives devices; reset is reliable; rewards cannot duplicate; inventory renders correctly.</x:v>
      </x:c>
      <x:c r="O16" s="111" t="str">
        <x:v>https://github.com/QK-Connoisseur/PDoki/blob/dev/PLAN.md#16-phase-12--oasisdrimy-launch-implementation</x:v>
      </x:c>
      <x:c r="P16" s="112" t="n">
        <x:v>46255.666666666664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1</x:v>
      </x:c>
      <x:c r="F18" s="111" t="n">
        <x:f>COUNTIF('Delivery Tracker'!$B$4:$B$400,$A18)</x:f>
        <x:v>22</x:v>
      </x:c>
      <x:c r="G18" s="119" t="n">
        <x:f>IF(F18=0,0,E18/F18)</x:f>
        <x:v>0.045454545454545456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0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and the deterministic promotion clock fix are published; product E2E, security drills, beta, and launch gates remain open.</x:v>
      </x:c>
      <x:c r="M18" s="111" t="str">
        <x:v>Keep expanding domain tests; do not schedule beta until legal, payments, identity, recovery, and support gates exist.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https://github.com/QK-Connoisseur/PDoki/actions/runs/32535922437</x:v>
      </x:c>
      <x:c r="P18" s="112" t="n">
        <x:v>46255.666666666664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28" priority="1" operator="containsText" text="Complete"/>
    <x:cfRule type="containsText" dxfId="29" priority="2" operator="containsText" text="Partially Complete"/>
    <x:cfRule type="containsText" dxfId="30" priority="3" operator="containsText" text="Foundation Complete"/>
    <x:cfRule type="containsText" dxfId="31" priority="4" operator="containsText" text="Blocked"/>
    <x:cfRule type="containsText" dxfId="32" priority="5" operator="containsText" text="Not Started"/>
    <x:cfRule type="containsText" dxfId="33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351a00dab44d8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N/A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Must exist before launch.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N/A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N/A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N/A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N/A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N/A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Not Started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Confirm dependencies and owner, then define the first deliverable.</x:v>
      </x:c>
      <x:c r="N18" s="112"/>
      <x:c r="O18" s="111" t="str"/>
      <x:c r="P18" s="112" t="n">
        <x:v>46250.666666666664</x:v>
      </x:c>
      <x:c r="Q18" s="111" t="str">
        <x:v>Document policies/controls required by CCBill and Epoch for merchant onboarding.</x:v>
      </x:c>
      <x:c r="R18" s="111" t="str">
        <x:v>CCBill/Epoch applications have not started. Assemble the compliance package in parallel with product development.</x:v>
      </x:c>
      <x:c r="S18" s="111" t="str">
        <x:v>Preserved Master Tracker row 20; legacy status: 📋 Not Started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N/A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timing, filing sequence for 'Pumdoki' and 'Veso'.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N/A</x:v>
      </x:c>
      <x:c r="J23" s="111" t="str">
        <x:v>High</x:v>
      </x:c>
      <x:c r="K23" s="111" t="str">
        <x:v>Founder</x:v>
      </x:c>
      <x:c r="L23" s="111" t="str">
        <x:v>Counsel / founder decision</x:v>
      </x:c>
      <x:c r="M23" s="111" t="str">
        <x:v>Close the remaining gap: Entity not filed.</x:v>
      </x:c>
      <x:c r="N23" s="112"/>
      <x:c r="O23" s="111" t="str"/>
      <x:c r="P23" s="112" t="n">
        <x:v>46250.666666666664</x:v>
      </x:c>
      <x:c r="Q23" s="111" t="str">
        <x:v>Manage privacy concerns — MD biz records may expose personal identity linked to NSFW platform.</x:v>
      </x:c>
      <x:c r="R23" s="111" t="str">
        <x:v>Entity not filed. Evaluate Wyoming and other privacy/no-individual-income-tax candidates with an attorney and CPA; account for foreign qualification where the founder operates.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Not Started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Confirm dependencies and owner, then define the first deliverable.</x:v>
      </x:c>
      <x:c r="N25" s="112"/>
      <x:c r="O25" s="111" t="str"/>
      <x:c r="P25" s="112" t="n">
        <x:v>46250.666666666664</x:v>
      </x:c>
      <x:c r="Q25" s="111" t="str">
        <x:v>Prohibit trafficking, exploitation, coercive content. Include reporting mechanisms and creator guidance.</x:v>
      </x:c>
      <x:c r="R25" s="111" t="str">
        <x:v>Required by CCBill/Epoch for merchant onboarding.</x:v>
      </x:c>
      <x:c r="S25" s="111" t="str">
        <x:v>Preserved Master Tracker row 27; legacy status: 📋 Not Started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Dark Knight theme</x:v>
      </x:c>
      <x:c r="H39" s="111" t="str">
        <x:v>Not Started</x:v>
      </x:c>
      <x:c r="I39" s="111" t="str">
        <x:v>N/A</x:v>
      </x:c>
      <x:c r="J39" s="111" t="str">
        <x:v>Medium</x:v>
      </x:c>
      <x:c r="K39" s="111" t="str">
        <x:v>Engineering</x:v>
      </x:c>
      <x:c r="L39" s="111" t="str"/>
      <x:c r="M39" s="111" t="str">
        <x:v>Confirm dependencies and owner, then define the first deliverable.</x:v>
      </x:c>
      <x:c r="N39" s="112"/>
      <x:c r="O39" s="111" t="str"/>
      <x:c r="P39" s="112" t="n">
        <x:v>46250.666666666664</x:v>
      </x:c>
      <x:c r="Q39" s="111" t="str">
        <x:v>Second default theme (dark/charcoal). Near-black backgrounds, deep tones, pink accent. Toggle in Settings. All users get this free alongside Sakura Pink.</x:v>
      </x:c>
      <x:c r="R39" s="111" t="str">
        <x:v>Committed as a default theme — not premium. CSS variable overrides over existing system. Do not skip.</x:v>
      </x:c>
      <x:c r="S39" s="111" t="str">
        <x:v>Preserved Master Tracker row 42; legacy status: 📋 Not Started</x:v>
      </x:c>
    </x:row>
    <x:row r="40" ht="46" customHeight="1">
      <x:c r="A40" s="111" t="str">
        <x:v>LEG-MT-043</x:v>
      </x:c>
      <x:c r="B40" s="111" t="str">
        <x:v>P06</x:v>
      </x:c>
      <x:c r="C40" s="111" t="str">
        <x:v>Veso, payments, subscriptions, tipping, and PPV</x:v>
      </x:c>
      <x:c r="D40" s="111" t="str">
        <x:v>P10, P11</x:v>
      </x:c>
      <x:c r="E40" s="111" t="str">
        <x:v>Legacy-mapped task</x:v>
      </x:c>
      <x:c r="F40" s="111" t="str">
        <x:v>Money, Veso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Confirm dependencies and owner, then define the first deliverable.</x:v>
      </x:c>
      <x:c r="N40" s="112"/>
      <x:c r="O40" s="111" t="str"/>
      <x:c r="P40" s="112" t="n">
        <x:v>46250.666666666664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First 500 creators get permanent Founding Creator badge + reduced platform commission. First 500 members get Founding Member badge + discount. Drives early community loyalty.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Not Started</x:v>
      </x:c>
      <x:c r="I42" s="111" t="str">
        <x:v>N/A</x:v>
      </x:c>
      <x:c r="J42" s="111" t="str">
        <x:v>Medium</x:v>
      </x:c>
      <x:c r="K42" s="111" t="str">
        <x:v>Engineering</x:v>
      </x:c>
      <x:c r="L42" s="111" t="str"/>
      <x:c r="M42" s="111" t="str">
        <x:v>Confirm dependencies and owner, then define the first deliverable.</x:v>
      </x:c>
      <x:c r="N42" s="112"/>
      <x:c r="O42" s="111" t="str"/>
      <x:c r="P42" s="112" t="n">
        <x:v>46250.666666666664</x:v>
      </x:c>
      <x:c r="Q42" s="111" t="str">
        <x:v>Configure R2 buckets, access policies, signed URLs for private media, CDN caching.</x:v>
      </x:c>
      <x:c r="R42" s="111" t="str">
        <x:v>R2 chosen for NSFW-safe media delivery.</x:v>
      </x:c>
      <x:c r="S42" s="111" t="str">
        <x:v>Preserved Master Tracker row 46; legacy status: 📋 Not Started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46250.666666666664</x:v>
      </x:c>
      <x:c r="Q43" s="111" t="str">
        <x:v>Model users, creators, posts, subscriptions, plans, transactions, Veso wallets, moderation.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N/A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Veso, payments, subscriptions, tipping, and PPV</x:v>
      </x:c>
      <x:c r="D62" s="111" t="str"/>
      <x:c r="E62" s="111" t="str">
        <x:v>Legacy-mapped task</x:v>
      </x:c>
      <x:c r="F62" s="111" t="str">
        <x:v>Money, Veso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Veso, payments, subscriptions, tipping, and PPV</x:v>
      </x:c>
      <x:c r="D66" s="111" t="str"/>
      <x:c r="E66" s="111" t="str">
        <x:v>Legacy-mapped task</x:v>
      </x:c>
      <x:c r="F66" s="111" t="str">
        <x:v>Money, Veso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Close the remaining gap: Launch-critical.</x:v>
      </x:c>
      <x:c r="N68" s="112"/>
      <x:c r="O68" s="111" t="str"/>
      <x:c r="P68" s="112" t="n">
        <x:v>46250.666666666664</x:v>
      </x:c>
      <x:c r="Q68" s="111" t="str">
        <x:v>Social discovery front-end for session bookings (E-Chat, Voice Call, Video Call, Game With Me).</x:v>
      </x:c>
      <x:c r="R68" s="111" t="str">
        <x:v>Launch-critical. UI prototype exists. Requires service configuration, availability, Veso booking, cancellation, reviews, and disputes.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Low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46250.666666666664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 t="str">
        <x:v>LEG-MT-076</x:v>
      </x:c>
      <x:c r="B70" s="111" t="str">
        <x:v>P06</x:v>
      </x:c>
      <x:c r="C70" s="111" t="str">
        <x:v>Veso, payments, subscriptions, tipping, and PPV</x:v>
      </x:c>
      <x:c r="D70" s="111" t="str"/>
      <x:c r="E70" s="111" t="str">
        <x:v>Legacy-mapped task</x:v>
      </x:c>
      <x:c r="F70" s="111" t="str">
        <x:v>Money, Veso &amp; entitlements</x:v>
      </x:c>
      <x:c r="G70" s="111" t="str">
        <x:v>Build Veso wallet page</x:v>
      </x:c>
      <x:c r="H70" s="111" t="str">
        <x:v>In Progress</x:v>
      </x:c>
      <x:c r="I70" s="111" t="str">
        <x:v>UI Prototype</x:v>
      </x:c>
      <x:c r="J70" s="111" t="str">
        <x:v>High</x:v>
      </x:c>
      <x:c r="K70" s="111" t="str">
        <x:v>Engineering</x:v>
      </x:c>
      <x:c r="L70" s="111" t="str"/>
      <x:c r="M70" s="111" t="str">
        <x:v>Close the remaining gap: Wallet UI prototype exists.</x:v>
      </x:c>
      <x:c r="N70" s="112"/>
      <x:c r="O70" s="111" t="str"/>
      <x:c r="P70" s="112" t="n">
        <x:v>46250.666666666664</x:v>
      </x:c>
      <x:c r="Q70" s="111" t="str">
        <x:v>Member-facing wallet: Veso balance display, add funds flow, transaction history. 1 Veso = 1 USD. Keep it simple for MVP.</x:v>
      </x:c>
      <x:c r="R70" s="111" t="str">
        <x:v>Wallet UI prototype exists. Add/recharge Veso needs an E-Pal Buff-inspired design plus real ledger/payment integration.</x:v>
      </x:c>
      <x:c r="S70" s="111" t="str">
        <x:v>Preserved Master Tracker row 76; legacy status: 🔄 In Progress</x:v>
      </x:c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Pink / Dark Knight), NSFW content toggle, payment/billing section.</x:v>
      </x:c>
      <x:c r="R72" s="111" t="str">
        <x:v>Protected Settings is implemented for display name, email/reverification, password, active sessions, and explicit-content preference. Notifications, theme, billing, export, and deletion remain deferred to dependency phases.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subscriptions, Veso spent.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Not Started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/>
      <x:c r="M80" s="111" t="str">
        <x:v>Confirm dependencies and owner, then define the first deliverable.</x:v>
      </x:c>
      <x:c r="N80" s="112"/>
      <x:c r="O80" s="111" t="str"/>
      <x:c r="P80" s="112" t="n">
        <x:v>46250.666666666664</x:v>
      </x:c>
      <x:c r="Q80" s="111" t="str">
        <x:v>Creator posting, visibility flags (public/subscriber/tier-locked), member access rules.</x:v>
      </x:c>
      <x:c r="R80" s="111" t="str">
        <x:v>Core content object needs build.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Not Started</x:v>
      </x:c>
      <x:c r="I81" s="111" t="str">
        <x:v>N/A</x:v>
      </x:c>
      <x:c r="J81" s="111" t="str">
        <x:v>Critical</x:v>
      </x:c>
      <x:c r="K81" s="111" t="str">
        <x:v>Engineering</x:v>
      </x:c>
      <x:c r="L81" s="111" t="str"/>
      <x:c r="M81" s="111" t="str">
        <x:v>Confirm dependencies and owner, then define the first deliverable.</x:v>
      </x:c>
      <x:c r="N81" s="112"/>
      <x:c r="O81" s="111" t="str"/>
      <x:c r="P81" s="112" t="n">
        <x:v>46250.666666666664</x:v>
      </x:c>
      <x:c r="Q81" s="111" t="str">
        <x:v>Image/video upload → Cloudflare R2 storage → signed URL delivery.</x:v>
      </x:c>
      <x:c r="R81" s="111" t="str">
        <x:v>Launch-critical capability.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Not Started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/>
      <x:c r="M82" s="111" t="str">
        <x:v>Confirm dependencies and owner, then define the first deliverable.</x:v>
      </x:c>
      <x:c r="N82" s="112"/>
      <x:c r="O82" s="111" t="str"/>
      <x:c r="P82" s="112" t="n">
        <x:v>46250.666666666664</x:v>
      </x:c>
      <x:c r="Q82" s="111" t="str">
        <x:v>Separate teaser, paid, and internal assets with signed URL gating.</x:v>
      </x:c>
      <x:c r="R82" s="111" t="str">
        <x:v>Needed for secure access gating.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Veso, payments, subscriptions, tipping, and PPV</x:v>
      </x:c>
      <x:c r="D86" s="111" t="str"/>
      <x:c r="E86" s="111" t="str">
        <x:v>Legacy-mapped task</x:v>
      </x:c>
      <x:c r="F86" s="111" t="str">
        <x:v>Money, Veso &amp; entitlements</x:v>
      </x:c>
      <x:c r="G86" s="111" t="str">
        <x:v>Integrate CCBill (primary processor)</x:v>
      </x:c>
      <x:c r="H86" s="111" t="str">
        <x:v>Not Started</x:v>
      </x:c>
      <x:c r="I86" s="111" t="str">
        <x:v>N/A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Confirm dependencies and owner, then define the first deliverable.</x:v>
      </x:c>
      <x:c r="N86" s="112"/>
      <x:c r="O86" s="111" t="str"/>
      <x:c r="P86" s="112" t="n">
        <x:v>46250.666666666664</x:v>
      </x:c>
      <x:c r="Q86" s="111" t="str">
        <x:v>Set up merchant account, API integration, webhook handling, subscription billing.</x:v>
      </x:c>
      <x:c r="R86" s="111" t="str">
        <x:v>Processor selected, but merchant application and API/webhook integration have not started.</x:v>
      </x:c>
      <x:c r="S86" s="111" t="str">
        <x:v>Preserved Master Tracker row 94; legacy status: 📋 Not Started</x:v>
      </x:c>
    </x:row>
    <x:row r="87" ht="46" customHeight="1">
      <x:c r="A87" s="111" t="str">
        <x:v>LEG-MT-095</x:v>
      </x:c>
      <x:c r="B87" s="111" t="str">
        <x:v>P06</x:v>
      </x:c>
      <x:c r="C87" s="111" t="str">
        <x:v>Veso, payments, subscriptions, tipping, and PPV</x:v>
      </x:c>
      <x:c r="D87" s="111" t="str"/>
      <x:c r="E87" s="111" t="str">
        <x:v>Legacy-mapped task</x:v>
      </x:c>
      <x:c r="F87" s="111" t="str">
        <x:v>Money, Veso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Confirm dependencies and owner, then define the first deliverable.</x:v>
      </x:c>
      <x:c r="N87" s="112"/>
      <x:c r="O87" s="111" t="str"/>
      <x:c r="P87" s="112" t="n">
        <x:v>46250.666666666664</x:v>
      </x:c>
      <x:c r="Q87" s="111" t="str">
        <x:v>Set up Epoch as secondary for transactions CCBill declines.</x:v>
      </x:c>
      <x:c r="R87" s="111" t="str">
        <x:v>Fallback provider selected, but application and technical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Veso, payments, subscriptions, tipping, and PPV</x:v>
      </x:c>
      <x:c r="D88" s="111" t="str"/>
      <x:c r="E88" s="111" t="str">
        <x:v>Legacy-mapped task</x:v>
      </x:c>
      <x:c r="F88" s="111" t="str">
        <x:v>Money, Veso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Confirm dependencies and owner, then define the first deliverable.</x:v>
      </x:c>
      <x:c r="N88" s="112"/>
      <x:c r="O88" s="111" t="str"/>
      <x:c r="P88" s="112" t="n">
        <x:v>46250.666666666664</x:v>
      </x:c>
      <x:c r="Q88" s="111" t="str">
        <x:v>Route failed CCBill transactions automatically to Epoch before returning decline.</x:v>
      </x:c>
      <x:c r="R88" s="111" t="str">
        <x:v>Do not implement until CCBill and Epoch confirm the account-specific cascade design in writing.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Veso, payments, subscriptions, tipping, and PPV</x:v>
      </x:c>
      <x:c r="D89" s="111" t="str"/>
      <x:c r="E89" s="111" t="str">
        <x:v>Legacy-mapped task</x:v>
      </x:c>
      <x:c r="F89" s="111" t="str">
        <x:v>Money, Veso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Confirm dependencies and owner, then define the first deliverable.</x:v>
      </x:c>
      <x:c r="N89" s="112"/>
      <x:c r="O89" s="111" t="str"/>
      <x:c r="P89" s="112" t="n">
        <x:v>46250.666666666664</x:v>
      </x:c>
      <x:c r="Q89" s="111" t="str">
        <x:v>Create the actual subscription/payment flow through CCBill/Epoch.</x:v>
      </x:c>
      <x:c r="R89" s="111" t="str">
        <x:v>Implementation not confirmed.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Veso, payments, subscriptions, tipping, and PPV</x:v>
      </x:c>
      <x:c r="D90" s="111" t="str"/>
      <x:c r="E90" s="111" t="str">
        <x:v>Legacy-mapped task</x:v>
      </x:c>
      <x:c r="F90" s="111" t="str">
        <x:v>Money, Veso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Veso, payments, subscriptions, tipping, and PPV</x:v>
      </x:c>
      <x:c r="D91" s="111" t="str"/>
      <x:c r="E91" s="111" t="str">
        <x:v>Legacy-mapped task</x:v>
      </x:c>
      <x:c r="F91" s="111" t="str">
        <x:v>Money, Veso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Veso, payments, subscriptions, tipping, and PPV</x:v>
      </x:c>
      <x:c r="D92" s="111" t="str"/>
      <x:c r="E92" s="111" t="str">
        <x:v>Legacy-mapped task</x:v>
      </x:c>
      <x:c r="F92" s="111" t="str">
        <x:v>Money, Veso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 t="str">
        <x:v>LEG-MT-101</x:v>
      </x:c>
      <x:c r="B93" s="111" t="str">
        <x:v>P06</x:v>
      </x:c>
      <x:c r="C93" s="111" t="str">
        <x:v>Veso, payments, subscriptions, tipping, and PPV</x:v>
      </x:c>
      <x:c r="D93" s="111" t="str"/>
      <x:c r="E93" s="111" t="str">
        <x:v>Legacy-mapped task</x:v>
      </x:c>
      <x:c r="F93" s="111" t="str">
        <x:v>Money, Veso &amp; entitlements</x:v>
      </x:c>
      <x:c r="G93" s="111" t="str">
        <x:v>Define Veso wallet / display logic</x:v>
      </x:c>
      <x:c r="H93" s="111" t="str">
        <x:v>In Progress</x:v>
      </x:c>
      <x:c r="I93" s="111" t="str">
        <x:v>Decision Locked</x:v>
      </x:c>
      <x:c r="J93" s="111" t="str">
        <x:v>Medium</x:v>
      </x:c>
      <x:c r="K93" s="111" t="str">
        <x:v>Engineering</x:v>
      </x:c>
      <x:c r="L93" s="111" t="str"/>
      <x:c r="M93" s="111" t="str">
        <x:v>Close the remaining gap: Direction locked: prepaid credits, 1 Veso = 1 USD.</x:v>
      </x:c>
      <x:c r="N93" s="112"/>
      <x:c r="O93" s="111" t="str"/>
      <x:c r="P93" s="112" t="n">
        <x:v>46250.666666666664</x:v>
      </x:c>
      <x:c r="Q93" s="111" t="str">
        <x:v>Where Veso (1 = $1 USD) appears: balance display, purchase flow, spend flow.</x:v>
      </x:c>
      <x:c r="R93" s="111" t="str">
        <x:v>Direction locked: prepaid credits, 1 Veso = 1 USD. Refund, transfer, expiration, promotional credit, and ledger policies remain.</x:v>
      </x:c>
      <x:c r="S93" s="111" t="str">
        <x:v>Preserved Master Tracker row 101; legacy status: 🔄 In Progress</x:v>
      </x:c>
    </x:row>
    <x:row r="94" ht="46" customHeight="1">
      <x:c r="A94" s="111" t="str">
        <x:v>LEG-MT-102</x:v>
      </x:c>
      <x:c r="B94" s="111" t="str">
        <x:v>P06</x:v>
      </x:c>
      <x:c r="C94" s="111" t="str">
        <x:v>Veso, payments, subscriptions, tipping, and PPV</x:v>
      </x:c>
      <x:c r="D94" s="111" t="str"/>
      <x:c r="E94" s="111" t="str">
        <x:v>Legacy-mapped task</x:v>
      </x:c>
      <x:c r="F94" s="111" t="str">
        <x:v>Money, Veso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Veso, payments, subscriptions, tipping, and PPV</x:v>
      </x:c>
      <x:c r="D95" s="111" t="str"/>
      <x:c r="E95" s="111" t="str">
        <x:v>Legacy-mapped task</x:v>
      </x:c>
      <x:c r="F95" s="111" t="str">
        <x:v>Money, Veso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Confirm dependencies and owner, then define the first deliverable.</x:v>
      </x:c>
      <x:c r="N95" s="112"/>
      <x:c r="O95" s="111" t="str"/>
      <x:c r="P95" s="112" t="n">
        <x:v>46250.666666666664</x:v>
      </x:c>
      <x:c r="Q95" s="111" t="str">
        <x:v>Track chargebacks from CCBill/Epoch, alert admin, manage dispute responses.</x:v>
      </x:c>
      <x:c r="R95" s="111" t="str">
        <x:v>Critical for high-risk adult processing.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Confirm dependencies and owner, then define the first deliverable.</x:v>
      </x:c>
      <x:c r="N103" s="112"/>
      <x:c r="O103" s="111" t="str"/>
      <x:c r="P103" s="112" t="n">
        <x:v>46250.666666666664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Needed for business operations and dispute resolution.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dependencies and owner, then define the first deliverable.</x:v>
      </x:c>
      <x:c r="N104" s="112"/>
      <x:c r="O104" s="111" t="str"/>
      <x:c r="P104" s="112" t="n">
        <x:v>46250.666666666664</x:v>
      </x:c>
      <x:c r="Q104" s="111" t="str">
        <x:v>Real-time view of incoming chargebacks from CCBill/Epoch webhooks. Show chargeback rate %, alert when approaching 1% threshold. Log dispute responses.</x:v>
      </x:c>
      <x:c r="R104" s="111" t="str">
        <x:v>Adult platforms live and die by chargeback rate. Exceeding 1% risks losing your merchant account.</x:v>
      </x:c>
      <x:c r="S104" s="111" t="str">
        <x:v>Preserved Master Tracker row 113; legacy status: 📋 Not Started</x:v>
      </x:c>
    </x:row>
    <x:row r="105" ht="46" customHeight="1">
      <x:c r="A105" s="111" t="str">
        <x:v>LEG-MT-114</x:v>
      </x:c>
      <x:c r="B105" s="111" t="str">
        <x:v>P11</x:v>
      </x:c>
      <x:c r="C105" s="111" t="str">
        <x:v>Admin and moderation</x:v>
      </x:c>
      <x:c r="D105" s="111" t="str"/>
      <x:c r="E105" s="111" t="str">
        <x:v>Legacy-mapped task</x:v>
      </x:c>
      <x:c r="F105" s="111" t="str">
        <x:v>Private operations &amp; moderation</x:v>
      </x:c>
      <x:c r="G105" s="111" t="str">
        <x:v>Build Veso / wallet admin view</x:v>
      </x:c>
      <x:c r="H105" s="111" t="str">
        <x:v>Not Started</x:v>
      </x:c>
      <x:c r="I105" s="111" t="str">
        <x:v>N/A</x:v>
      </x:c>
      <x:c r="J105" s="111" t="str">
        <x:v>Medium</x:v>
      </x:c>
      <x:c r="K105" s="111" t="str">
        <x:v>Engineering</x:v>
      </x:c>
      <x:c r="L105" s="111" t="str">
        <x:v>Private-operations security gates</x:v>
      </x:c>
      <x:c r="M105" s="111" t="str">
        <x:v>Confirm dependencies and owner, then define the first deliverable.</x:v>
      </x:c>
      <x:c r="N105" s="112"/>
      <x:c r="O105" s="111" t="str"/>
      <x:c r="P105" s="112" t="n">
        <x:v>46250.666666666664</x:v>
      </x:c>
      <x:c r="Q105" s="111" t="str">
        <x:v>View all Veso balances across users. See top-up history, spend history, manual adjustments. Ability to issue Veso credits (e.g., for promotions or support resolutions).</x:v>
      </x:c>
      <x:c r="R105" s="111" t="str">
        <x:v>Needed once Veso is live. Also useful for resolving billing disputes.</x:v>
      </x:c>
      <x:c r="S105" s="111" t="str">
        <x:v>Preserved Master Tracker row 114; legacy status: 📋 Not Started</x:v>
      </x:c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Confirm dependencies and owner, then define the first deliverable.</x:v>
      </x:c>
      <x:c r="N123" s="112"/>
      <x:c r="O123" s="111" t="str"/>
      <x:c r="P123" s="112" t="n">
        <x:v>46250.666666666664</x:v>
      </x:c>
      <x:c r="Q123" s="111" t="str">
        <x:v>Define who tests, what gets tested, how feedback is captured.</x:v>
      </x:c>
      <x:c r="R123" s="111" t="str">
        <x:v>Recommended before public launch.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Confirm dependencies and owner, then define the first deliverable.</x:v>
      </x:c>
      <x:c r="N126" s="112"/>
      <x:c r="O126" s="111" t="str"/>
      <x:c r="P126" s="112" t="n">
        <x:v>46250.666666666664</x:v>
      </x:c>
      <x:c r="Q126" s="111" t="str">
        <x:v>CCBill → Epoch cascade, subscription lifecycle, renewal, cancel, chargebacks.</x:v>
      </x:c>
      <x:c r="R126" s="111" t="str">
        <x:v>Critical for revenue reliability.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 t="str">
        <x:v>LEG-MT-143</x:v>
      </x:c>
      <x:c r="B130" s="111" t="str">
        <x:v>P06</x:v>
      </x:c>
      <x:c r="C130" s="111" t="str">
        <x:v>Veso, payments, subscriptions, tipping, and PPV</x:v>
      </x:c>
      <x:c r="D130" s="111" t="str"/>
      <x:c r="E130" s="111" t="str">
        <x:v>Legacy-mapped task</x:v>
      </x:c>
      <x:c r="F130" s="111" t="str">
        <x:v>Money, Veso &amp; entitlements</x:v>
      </x:c>
      <x:c r="G130" s="111" t="str">
        <x:v>Build Veso recharge UI</x:v>
      </x:c>
      <x:c r="H130" s="111" t="str">
        <x:v>Not Started</x:v>
      </x:c>
      <x:c r="I130" s="111" t="str">
        <x:v>N/A</x:v>
      </x:c>
      <x:c r="J130" s="111" t="str">
        <x:v>Critical</x:v>
      </x:c>
      <x:c r="K130" s="111" t="str">
        <x:v>Engineering</x:v>
      </x:c>
      <x:c r="L130" s="111" t="str"/>
      <x:c r="M130" s="111" t="str">
        <x:v>Confirm dependencies and owner, then define the first deliverable.</x:v>
      </x:c>
      <x:c r="N130" s="112"/>
      <x:c r="O130" s="111" t="str"/>
      <x:c r="P130" s="112" t="n">
        <x:v>46250.666666666664</x:v>
      </x:c>
      <x:c r="Q130" s="111" t="str">
        <x:v>Design and implement Add/Recharge Vesos with presets, payment summary, receipt, and transaction history. Visual reference: E-Pal Buff recharge.</x:v>
      </x:c>
      <x:c r="R130" s="111" t="str">
        <x:v>Launch-critical. 1 Veso = 1 USD.</x:v>
      </x:c>
      <x:c r="S130" s="111" t="str">
        <x:v>Preserved Master Tracker row 143; legacy status: 📋 Not Started</x:v>
      </x:c>
    </x:row>
    <x:row r="131" ht="46" customHeight="1">
      <x:c r="A131" s="111" t="str">
        <x:v>LEG-MT-144</x:v>
      </x:c>
      <x:c r="B131" s="111" t="str">
        <x:v>P06</x:v>
      </x:c>
      <x:c r="C131" s="111" t="str">
        <x:v>Veso, payments, subscriptions, tipping, and PPV</x:v>
      </x:c>
      <x:c r="D131" s="111" t="str"/>
      <x:c r="E131" s="111" t="str">
        <x:v>Legacy-mapped task</x:v>
      </x:c>
      <x:c r="F131" s="111" t="str">
        <x:v>Money, Veso &amp; entitlements</x:v>
      </x:c>
      <x:c r="G131" s="111" t="str">
        <x:v>Define Veso terms and ledger policies</x:v>
      </x:c>
      <x:c r="H131" s="111" t="str">
        <x:v>In Progress</x:v>
      </x:c>
      <x:c r="I131" s="111" t="str">
        <x:v>Decision Locked</x:v>
      </x:c>
      <x:c r="J131" s="111" t="str">
        <x:v>High</x:v>
      </x:c>
      <x:c r="K131" s="111" t="str">
        <x:v>Founder</x:v>
      </x:c>
      <x:c r="L131" s="111" t="str">
        <x:v>Counsel / founder decision</x:v>
      </x:c>
      <x:c r="M131" s="111" t="str">
        <x:v>Close the remaining gap: Use E-Pal as product research only; draft independent policies for Pumdoki with processor/legal review.</x:v>
      </x:c>
      <x:c r="N131" s="112"/>
      <x:c r="O131" s="111" t="str"/>
      <x:c r="P131" s="112" t="n">
        <x:v>46250.666666666664</x:v>
      </x:c>
      <x:c r="Q131" s="111" t="str">
        <x:v>Define purchased vs promotional Veso, refunds, expiration, transfer, account closure, chargebacks, and creator earnings conversion.</x:v>
      </x:c>
      <x:c r="R131" s="111" t="str">
        <x:v>Use E-Pal as product research only; draft independent policies for Pumdoki with processor/legal review.</x:v>
      </x:c>
      <x:c r="S131" s="111" t="str">
        <x:v>Preserved Master Tracker row 144; legacy status: 🔄 In Progress</x:v>
      </x:c>
    </x:row>
    <x:row r="132" ht="46" customHeight="1">
      <x:c r="A132" s="111" t="str">
        <x:v>LEG-MT-145</x:v>
      </x:c>
      <x:c r="B132" s="111" t="str">
        <x:v>P06</x:v>
      </x:c>
      <x:c r="C132" s="111" t="str">
        <x:v>Veso, payments, subscriptions, tipping, and PPV</x:v>
      </x:c>
      <x:c r="D132" s="111" t="str"/>
      <x:c r="E132" s="111" t="str">
        <x:v>Legacy-mapped task</x:v>
      </x:c>
      <x:c r="F132" s="111" t="str">
        <x:v>Money, Veso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Medium</x:v>
      </x:c>
      <x:c r="K132" s="111" t="str">
        <x:v>Engineering</x:v>
      </x:c>
      <x:c r="L132" s="111" t="str"/>
      <x:c r="M132" s="111" t="str">
        <x:v>Confirm dependencies and owner, then define the first deliverable.</x:v>
      </x:c>
      <x:c r="N132" s="112"/>
      <x:c r="O132" s="111" t="str"/>
      <x:c r="P132" s="112" t="n">
        <x:v>46250.666666666664</x:v>
      </x:c>
      <x:c r="Q132" s="111" t="str">
        <x:v>Allow members to tip creators using Veso with idempotent ledger transfers and creator pending earnings.</x:v>
      </x:c>
      <x:c r="R132" s="111" t="str">
        <x:v>Moved from backlog into MVP launch scope.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Veso, payments, subscriptions, tipping, and PPV</x:v>
      </x:c>
      <x:c r="D133" s="111" t="str"/>
      <x:c r="E133" s="111" t="str">
        <x:v>Legacy-mapped task</x:v>
      </x:c>
      <x:c r="F133" s="111" t="str">
        <x:v>Money, Veso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Confirm dependencies and owner, then define the first deliverable.</x:v>
      </x:c>
      <x:c r="N133" s="112"/>
      <x:c r="O133" s="111" t="str"/>
      <x:c r="P133" s="112" t="n">
        <x:v>46250.666666666664</x:v>
      </x:c>
      <x:c r="Q133" s="111" t="str">
        <x:v>Allow members to unlock individual creator content with Veso and durable entitlement records.</x:v>
      </x:c>
      <x:c r="R133" s="111" t="str">
        <x:v>Moved from backlog into MVP launch scope.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Low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46250.666666666664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Medium</x:v>
      </x:c>
      <x:c r="K136" s="111" t="str">
        <x:v>Engineering</x:v>
      </x:c>
      <x:c r="L136" s="111" t="str"/>
      <x:c r="M136" s="111" t="str">
        <x:v>Close the remaining gap: UI prototype exists; full booking lifecycle remains.</x:v>
      </x:c>
      <x:c r="N136" s="112"/>
      <x:c r="O136" s="111" t="str"/>
      <x:c r="P136" s="112" t="n">
        <x:v>46250.666666666664</x:v>
      </x:c>
      <x:c r="Q136" s="111" t="str">
        <x:v>Implement service setup, schedules, time zones, Veso booking, confirmations, cancellations, disputes, and reviews.</x:v>
      </x:c>
      <x:c r="R136" s="111" t="str">
        <x:v>UI prototype exists; full booking lifecycle remains.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Complete Oasis / Drimy for launch</x:v>
      </x:c>
      <x:c r="H137" s="111" t="str">
        <x:v>In Progress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/>
      <x:c r="M137" s="111" t="str">
        <x:v>Close the remaining gap: Moved from post-MVP into launch scope; current page is client-only mock logic.</x:v>
      </x:c>
      <x:c r="N137" s="112"/>
      <x:c r="O137" s="111" t="str"/>
      <x:c r="P137" s="112" t="n">
        <x:v>46250.666666666664</x:v>
      </x:c>
      <x:c r="Q137" s="111" t="str">
        <x:v>Create server-authoritative Drimy ownership, XP, Orbs, tasks, evolution, inventory, achievements, and daily resets.</x:v>
      </x:c>
      <x:c r="R137" s="111" t="str">
        <x:v>Moved from post-MVP into launch scope; current page is client-only mock logic.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Build Oasis collectibles and cosmetics</x:v>
      </x:c>
      <x:c r="H138" s="111" t="str">
        <x:v>Not Started</x:v>
      </x:c>
      <x:c r="I138" s="111" t="str">
        <x:v>N/A</x:v>
      </x:c>
      <x:c r="J138" s="111" t="str">
        <x:v>Medium</x:v>
      </x:c>
      <x:c r="K138" s="111" t="str">
        <x:v>Engineering</x:v>
      </x:c>
      <x:c r="L138" s="111" t="str"/>
      <x:c r="M138" s="111" t="str">
        <x:v>Confirm dependencies and owner, then define the first deliverable.</x:v>
      </x:c>
      <x:c r="N138" s="112"/>
      <x:c r="O138" s="111" t="str"/>
      <x:c r="P138" s="112" t="n">
        <x:v>46250.666666666664</x:v>
      </x:c>
      <x:c r="Q138" s="111" t="str">
        <x:v>Create collectible backgrounds, skins, frames, badges, equipped states, fixed-price store items, and reward inventory.</x:v>
      </x:c>
      <x:c r="R138" s="111" t="str">
        <x:v>Primary objective is daily retention. Paid randomized rewards require separate review.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Choose LLC state and privacy structure</x:v>
      </x:c>
      <x:c r="H145" s="111" t="str">
        <x:v>Not Started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Counsel / founder decision</x:v>
      </x:c>
      <x:c r="M145" s="111" t="str">
        <x:v>Confirm dependencies and owner, then define the first deliverable.</x:v>
      </x:c>
      <x:c r="N145" s="112"/>
      <x:c r="O145" s="111" t="str"/>
      <x:c r="P145" s="112" t="n">
        <x:v>46250.666666666664</x:v>
      </x:c>
      <x:c r="Q145" s="111" t="str">
        <x:v>Compare Wyoming and other candidates with an adult-platform attorney and CPA; include registered agent, taxes, and foreign qualification.</x:v>
      </x:c>
      <x:c r="R145" s="111" t="str">
        <x:v>No entity filed. A no-income-tax state does not by itself remove taxes or disclosure duties elsewhere.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Veso, payments, subscriptions, tipping, and PPV</x:v>
      </x:c>
      <x:c r="D146" s="111" t="str"/>
      <x:c r="E146" s="111" t="str">
        <x:v>Legacy-mapped task</x:v>
      </x:c>
      <x:c r="F146" s="111" t="str">
        <x:v>Money, Veso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Not Started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Confirm dependencies and owner, then define the first deliverable.</x:v>
      </x:c>
      <x:c r="N149" s="112"/>
      <x:c r="O149" s="111" t="str"/>
      <x:c r="P149" s="112" t="n">
        <x:v>46250.666666666664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Legal and support UI must not imply nonexistent operations.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Veso, payments, subscriptions, tipping, and PPV</x:v>
      </x:c>
      <x:c r="D151" s="111" t="str"/>
      <x:c r="E151" s="111" t="str">
        <x:v>Legacy-mapped task</x:v>
      </x:c>
      <x:c r="F151" s="111" t="str">
        <x:v>Money, Veso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Confirm dependencies and owner, then define the first deliverable.</x:v>
      </x:c>
      <x:c r="N151" s="112"/>
      <x:c r="O151" s="111" t="str"/>
      <x:c r="P151" s="112" t="n">
        <x:v>46250.666666666664</x:v>
      </x:c>
      <x:c r="Q151" s="111" t="str">
        <x:v>Obtain written technical and commercial confirmation before implementing fallback payment routing.</x:v>
      </x:c>
      <x:c r="R151" s="111" t="str">
        <x:v>Merchant applications have not started.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Done</x:v>
      </x:c>
      <x:c r="I152" s="111" t="str">
        <x:v>N/A</x:v>
      </x:c>
      <x:c r="J152" s="111" t="str">
        <x:v>High</x:v>
      </x:c>
      <x:c r="K152" s="111" t="str">
        <x:v>Engineering</x:v>
      </x:c>
      <x:c r="L152" s="111"/>
      <x:c r="M152" s="111" t="str">
        <x:v>Use the PLAN-aligned tracker as the operating view and keep owners, dates, evidence, and daily debriefs current.</x:v>
      </x:c>
      <x:c r="N152" s="112"/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Published through PR #13. No legacy task, note, backlog item, assumption, or expense value was deleted.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Done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/>
      <x:c r="M153" s="111" t="str">
        <x:v>Keep the foundation canary-only while deployment, monitoring, Redis/shared throttling, general idempotency, and product-flow migrations remain separately gated.</x:v>
      </x:c>
      <x:c r="N153" s="112"/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Published through PR #13 as a foundation only; no product flow, provider, deployment, or live credentials were added.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Done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/>
      <x:c r="M154" s="111" t="str">
        <x:v>Treat this as canary-specific evidence only; design the reusable consequential-operation idempotency framework in a separately approved slice.</x:v>
      </x:c>
      <x:c r="N154" s="112"/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Published through PR #13. This does not implement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Done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/>
      <x:c r="M157" s="111" t="str">
        <x:v>Preserve the 127.0.0.1-only local default; deployed network controls and restricted credentials remain separate gates.</x:v>
      </x:c>
      <x:c r="N157" s="112"/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Published through PR #13 as local-only hardening; no staging or production configuration changed.</x:v>
      </x:c>
      <x:c r="S157" s="111" t="str">
        <x:v>PR #13 supplemental hardening</x:v>
      </x:c>
    </x:row>
    <x:row r="158" ht="46" customHeight="1">
      <x:c r="A158" s="111" t="str">
        <x:v>P04-S1</x:v>
      </x:c>
      <x:c r="B158" s="111" t="str">
        <x:v>P04</x:v>
      </x:c>
      <x:c r="C158" s="111" t="str">
        <x:v>Legal, trust, and creator onboarding</x:v>
      </x:c>
      <x:c r="D158" s="111" t="str">
        <x:v>P03</x:v>
      </x:c>
      <x:c r="E158" s="111" t="str">
        <x:v>Published slice</x:v>
      </x:c>
      <x:c r="F158" s="111" t="str">
        <x:v>Creator onboarding &amp; trust</x:v>
      </x:c>
      <x:c r="G158" s="111" t="str">
        <x:v>Publish the creator-application submission foundation</x:v>
      </x:c>
      <x:c r="H158" s="111" t="str">
        <x:v>Done</x:v>
      </x:c>
      <x:c r="I158" s="111" t="str">
        <x:v>Integrated</x:v>
      </x:c>
      <x:c r="J158" s="111" t="str">
        <x:v>High</x:v>
      </x:c>
      <x:c r="K158" s="111" t="str">
        <x:v>Engineering</x:v>
      </x:c>
      <x:c r="L158" s="111" t="str"/>
      <x:c r="M158" s="111" t="str">
        <x:v>Preserve the PENDING-only, no-role-promotion boundary until later trust and legal gates are approved.</x:v>
      </x:c>
      <x:c r="N158" s="112"/>
      <x:c r="O158" s="111" t="str">
        <x:v>https://github.com/QK-Connoisseur/PDoki/commit/ce6c9e4</x:v>
      </x:c>
      <x:c r="P158" s="112" t="n">
        <x:v>46255.666666666664</x:v>
      </x:c>
      <x:c r="Q158" s="111" t="str">
        <x:v>Verified members can submit one persisted creator application with versioned prototype acceptances recorded atomically.</x:v>
      </x:c>
      <x:c r="R158" s="111" t="str">
        <x:v>Published Phase 4 Slice 1; no identity files, approval, creator role promotion, or Dashboard access.</x:v>
      </x:c>
      <x:c r="S158" s="111" t="str">
        <x:v>PLAN.md Phase 4 published foundation</x:v>
      </x:c>
    </x:row>
    <x:row r="159" ht="46" customHeight="1">
      <x:c r="A159" s="111" t="str">
        <x:v>P04-S2</x:v>
      </x:c>
      <x:c r="B159" s="111" t="str">
        <x:v>P04</x:v>
      </x:c>
      <x:c r="C159" s="111" t="str">
        <x:v>Legal, trust, and creator onboarding</x:v>
      </x:c>
      <x:c r="D159" s="111" t="str">
        <x:v>P11</x:v>
      </x:c>
      <x:c r="E159" s="111" t="str">
        <x:v>Published slice</x:v>
      </x:c>
      <x:c r="F159" s="111" t="str">
        <x:v>Private operations &amp; moderation</x:v>
      </x:c>
      <x:c r="G159" s="111" t="str">
        <x:v>Publish the dormant non-approval review-transition foundation</x:v>
      </x:c>
      <x:c r="H159" s="111" t="str">
        <x:v>Done</x:v>
      </x:c>
      <x:c r="I159" s="111" t="str">
        <x:v>Backend Implemented</x:v>
      </x:c>
      <x:c r="J159" s="111" t="str">
        <x:v>High</x:v>
      </x:c>
      <x:c r="K159" s="111" t="str">
        <x:v>Engineering</x:v>
      </x:c>
      <x:c r="L159" s="111" t="str"/>
      <x:c r="M159" s="111" t="str">
        <x:v>Keep the router unmounted and APPROVED/role-promotion behavior absent until the documented activation gates are satisfied.</x:v>
      </x:c>
      <x:c r="N159" s="112"/>
      <x:c r="O159" s="111" t="str">
        <x:v>https://github.com/QK-Connoisseur/PDoki/pull/1</x:v>
      </x:c>
      <x:c r="P159" s="112" t="n">
        <x:v>46255.666666666664</x:v>
      </x:c>
      <x:c r="Q159" s="111" t="str">
        <x:v>Persist strict non-approval review transitions and immutable reviewer evidence in one transaction.</x:v>
      </x:c>
      <x:c r="R159" s="111" t="str">
        <x:v>Published Phase 4 Slice 2 foundation; deliberately not an operational admin workflow.</x:v>
      </x:c>
      <x:c r="S159" s="111" t="str">
        <x:v>PLAN.md Phase 4 published foundation</x:v>
      </x:c>
    </x:row>
    <x:row r="160" ht="46" customHeight="1">
      <x:c r="A160" s="111" t="str">
        <x:v>P07-E2E-001</x:v>
      </x:c>
      <x:c r="B160" s="111" t="str">
        <x:v>P07</x:v>
      </x:c>
      <x:c r="C160" s="111" t="str">
        <x:v>Core end-to-end vertical slice</x:v>
      </x:c>
      <x:c r="D160" s="111" t="str">
        <x:v>P04, P05, P06</x:v>
      </x:c>
      <x:c r="E160" s="111" t="str">
        <x:v>PLAN phase gate</x:v>
      </x:c>
      <x:c r="F160" s="111" t="str">
        <x:v>Core vertical slice</x:v>
      </x:c>
      <x:c r="G160" s="111" t="str">
        <x:v>Complete the member-to-creator end-to-end product flow</x:v>
      </x:c>
      <x:c r="H160" s="111" t="str">
        <x:v>Blocked</x:v>
      </x:c>
      <x:c r="I160" s="111" t="str">
        <x:v>N/A</x:v>
      </x:c>
      <x:c r="J160" s="111" t="str">
        <x:v>High</x:v>
      </x:c>
      <x:c r="K160" s="111" t="str">
        <x:v>Engineering</x:v>
      </x:c>
      <x:c r="L160" s="111" t="str">
        <x:v>Phase 4–6 dependencies</x:v>
      </x:c>
      <x:c r="M160" s="111" t="str">
        <x:v>Do not begin the product slice until creator approval, media entitlement, and payment-ledger prerequisites are accepted.</x:v>
      </x:c>
      <x:c r="N160" s="112"/>
      <x:c r="O160" s="111" t="str">
        <x:v>https://github.com/QK-Connoisseur/PDoki/blob/dev/PLAN.md#11-phase-7--core-end-to-end-vertical-slice</x:v>
      </x:c>
      <x:c r="P160" s="112" t="n">
        <x:v>46255.666666666664</x:v>
      </x:c>
      <x:c r="Q160" s="111" t="str">
        <x:v>Member discovers an approved creator, acquires Veso, purchases access, consumes authorized media, and produces auditable records without manual database edits.</x:v>
      </x:c>
      <x:c r="R160" s="111" t="str">
        <x:v>Explicit dependency marker so Phase 7 is visible even though no legacy tracker row represented it.</x:v>
      </x:c>
      <x:c r="S160" s="111" t="str">
        <x:v>PLAN.md Phase 7 exit gate</x:v>
      </x:c>
    </x:row>
    <x:row r="161" ht="46" customHeight="1">
      <x:c r="A161" s="111" t="str">
        <x:v>P14-QA-001</x:v>
      </x:c>
      <x:c r="B161" s="111" t="str">
        <x:v>P14</x:v>
      </x:c>
      <x:c r="C161" s="111" t="str">
        <x:v>QA, security, private beta, and launch</x:v>
      </x:c>
      <x:c r="D161" s="111" t="str">
        <x:v>P08</x:v>
      </x:c>
      <x:c r="E161" s="111" t="str">
        <x:v>Supplemental</x:v>
      </x:c>
      <x:c r="F161" s="111" t="str">
        <x:v>Deterministic E2E</x:v>
      </x:c>
      <x:c r="G161" s="111" t="str">
        <x:v>Make promotion material E2E independent of calendar date</x:v>
      </x:c>
      <x:c r="H161" s="111" t="str">
        <x:v>Done</x:v>
      </x:c>
      <x:c r="I161" s="111" t="str">
        <x:v>Integrated</x:v>
      </x:c>
      <x:c r="J161" s="111" t="str">
        <x:v>Medium</x:v>
      </x:c>
      <x:c r="K161" s="111" t="str">
        <x:v>Engineering</x:v>
      </x:c>
      <x:c r="L161" s="111"/>
      <x:c r="M161" s="111" t="str">
        <x:v>Keep calendar-dependent fixtures under an explicit test clock and retain the real-stack Playwright regression.</x:v>
      </x:c>
      <x:c r="N161" s="112"/>
      <x:c r="O161" s="111" t="str">
        <x:v>https://github.com/QK-Connoisseur/PDoki/pull/13</x:v>
      </x:c>
      <x:c r="P161" s="112" t="n">
        <x:v>46255.666666666664</x:v>
      </x:c>
      <x:c r="Q161" s="111" t="str">
        <x:v>Freeze the test clock without changing product or fixture behavior.</x:v>
      </x:c>
      <x:c r="R161" s="111" t="str">
        <x:v>Published through PR #13 after exact-head and post-merge CI passed; no product or fixture behavior changed.</x:v>
      </x:c>
      <x:c r="S161" s="111" t="str">
        <x:v>PR #13 CI repair</x:v>
      </x:c>
    </x:row>
  </x:sheetData>
  <x:mergeCells>
    <x:mergeCell ref="A1:S1"/>
    <x:mergeCell ref="A2:S2"/>
  </x:mergeCells>
  <x:conditionalFormatting sqref="H4:H161">
    <x:cfRule type="containsText" dxfId="0" priority="1" operator="containsText" text="Done"/>
    <x:cfRule type="containsText" dxfId="4" priority="2" operator="containsText" text="In Progress"/>
    <x:cfRule type="containsText" dxfId="8" priority="3" operator="containsText" text="In Review"/>
    <x:cfRule type="containsText" dxfId="12" priority="4" operator="containsText" text="Blocked"/>
    <x:cfRule type="containsText" dxfId="16" priority="5" operator="containsText" text="Not Started"/>
    <x:cfRule type="containsText" dxfId="20" priority="6" operator="containsText" text="Ready"/>
    <x:cfRule type="containsText" dxfId="24" priority="7" operator="containsText" text="Deferred"/>
  </x:conditionalFormatting>
  <x:dataValidations count="5">
    <x:dataValidation type="list" sqref="H4:H161">
      <x:formula1>"Not Started,Ready,In Progress,In Review,Blocked,Done,Deferred"</x:formula1>
    </x:dataValidation>
    <x:dataValidation type="list" sqref="I4:I161">
      <x:formula1>"Decision Locked,UI Prototype,Backend Implemented,Integrated,Production-Ready,N/A"</x:formula1>
    </x:dataValidation>
    <x:dataValidation type="list" sqref="J4:J161">
      <x:formula1>"Critical,High,Medium,Low"</x:formula1>
    </x:dataValidation>
    <x:dataValidation type="list" sqref="K4:K161">
      <x:formula1>"Founder,Engineering,Operations,Counsel,Unassigned"</x:formula1>
    </x:dataValidation>
    <x:dataValidation type="list" sqref="E4:E161">
      <x:formula1>"PLAN task,PLAN phase gate,Supplemental,Legacy-mapped task,Published slice,Decision,Exit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0765db0de3413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25" hidden="0" customWidth="1"/>
    <x:col min="5" max="5" width="36" hidden="0" customWidth="1"/>
    <x:col min="6" max="6" width="15" hidden="0" customWidth="1"/>
    <x:col min="7" max="7" width="15" hidden="0" customWidth="1"/>
    <x:col min="8" max="8" width="28" hidden="0" customWidth="1"/>
    <x:col min="9" max="9" width="42" hidden="0" customWidth="1"/>
    <x:col min="10" max="10" width="13" hidden="0" customWidth="1"/>
    <x:col min="11" max="11" width="42" hidden="0" customWidth="1"/>
    <x:col min="12" max="12" width="13" hidden="0" customWidth="1"/>
  </x:cols>
  <x:sheetData>
    <x:row r="1" ht="32" customHeight="1">
      <x:c r="A1" s="88" t="str">
        <x:v>🔎 Pumdoki Review &amp; Blocker Queue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Focused view derived from Delivery Tracker. Update the canonical source row there; use this sheet for daily review and blocker triage.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Work ID</x:v>
      </x:c>
      <x:c r="B3" s="98" t="str">
        <x:v>Phase</x:v>
      </x:c>
      <x:c r="C3" s="98" t="str">
        <x:v>PLAN Phase</x:v>
      </x:c>
      <x:c r="D3" s="98" t="str">
        <x:v>Workstream</x:v>
      </x:c>
      <x:c r="E3" s="98" t="str">
        <x:v>Work Item</x:v>
      </x:c>
      <x:c r="F3" s="98" t="str">
        <x:v>Workflow</x:v>
      </x:c>
      <x:c r="G3" s="98" t="str">
        <x:v>Owner</x:v>
      </x:c>
      <x:c r="H3" s="98" t="str">
        <x:v>Waiting On / Reviewer</x:v>
      </x:c>
      <x:c r="I3" s="98" t="str">
        <x:v>Next Action</x:v>
      </x:c>
      <x:c r="J3" s="98" t="str">
        <x:v>Next Check</x:v>
      </x:c>
      <x:c r="K3" s="98" t="str">
        <x:v>Evidence</x:v>
      </x:c>
      <x:c r="L3" s="98" t="str">
        <x:v>Updated</x:v>
      </x:c>
    </x:row>
    <x:row r="4" ht="54" customHeight="1">
      <x:c r="A4" s="109" t="str">
        <x:v>P07-E2E-001</x:v>
      </x:c>
      <x:c r="B4" s="109" t="str">
        <x:v>P07</x:v>
      </x:c>
      <x:c r="C4" s="109" t="str">
        <x:v>Core end-to-end vertical slice</x:v>
      </x:c>
      <x:c r="D4" s="109" t="str">
        <x:v>Core vertical slice</x:v>
      </x:c>
      <x:c r="E4" s="109" t="str">
        <x:v>Complete the member-to-creator end-to-end product flow</x:v>
      </x:c>
      <x:c r="F4" s="109" t="str">
        <x:v>Blocked</x:v>
      </x:c>
      <x:c r="G4" s="109" t="str">
        <x:v>Engineering</x:v>
      </x:c>
      <x:c r="H4" s="109" t="str">
        <x:v>Phase 4–6 dependencies</x:v>
      </x:c>
      <x:c r="I4" s="109" t="str">
        <x:v>Do not begin the product slice until creator approval, media entitlement, and payment-ledger prerequisites are accepted.</x:v>
      </x:c>
      <x:c r="J4" s="110"/>
      <x:c r="K4" s="109" t="str">
        <x:v>https://github.com/QK-Connoisseur/PDoki/blob/dev/PLAN.md#11-phase-7--core-end-to-end-vertical-slice</x:v>
      </x:c>
      <x:c r="L4" s="110" t="n">
        <x:v>46255.666666666664</x:v>
      </x:c>
    </x:row>
    <x:row r="5" ht="54" customHeight="1">
      <x:c r="A5" s="111"/>
      <x:c r="B5" s="111"/>
      <x:c r="C5" s="111"/>
      <x:c r="D5" s="111"/>
      <x:c r="E5" s="111"/>
      <x:c r="F5" s="111"/>
      <x:c r="G5" s="111"/>
      <x:c r="H5" s="111"/>
      <x:c r="I5" s="111"/>
      <x:c r="J5" s="112"/>
      <x:c r="K5" s="111"/>
      <x:c r="L5" s="112"/>
    </x:row>
    <x:row r="6" ht="54" customHeight="1">
      <x:c r="A6" s="111"/>
      <x:c r="B6" s="111"/>
      <x:c r="C6" s="111"/>
      <x:c r="D6" s="111"/>
      <x:c r="E6" s="111"/>
      <x:c r="F6" s="111"/>
      <x:c r="G6" s="111"/>
      <x:c r="H6" s="111"/>
      <x:c r="I6" s="111"/>
      <x:c r="J6" s="112"/>
      <x:c r="K6" s="111"/>
      <x:c r="L6" s="112"/>
    </x:row>
    <x:row r="7" ht="54" customHeight="1">
      <x:c r="A7" s="111"/>
      <x:c r="B7" s="111"/>
      <x:c r="C7" s="111"/>
      <x:c r="D7" s="111"/>
      <x:c r="E7" s="111"/>
      <x:c r="F7" s="111"/>
      <x:c r="G7" s="111"/>
      <x:c r="H7" s="111"/>
      <x:c r="I7" s="111"/>
      <x:c r="J7" s="112"/>
      <x:c r="K7" s="111"/>
      <x:c r="L7" s="112"/>
    </x:row>
    <x:row r="8" ht="54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2"/>
      <x:c r="K8" s="111"/>
      <x:c r="L8" s="112"/>
    </x:row>
    <x:row r="9" ht="54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2"/>
      <x:c r="K9" s="111"/>
      <x:c r="L9" s="112"/>
    </x:row>
  </x:sheetData>
  <x:mergeCells>
    <x:mergeCell ref="A1:L1"/>
    <x:mergeCell ref="A2:L2"/>
  </x:mergeCells>
  <x:conditionalFormatting sqref="F4:F9">
    <x:cfRule type="containsText" dxfId="1" priority="1" operator="containsText" text="Done"/>
    <x:cfRule type="containsText" dxfId="5" priority="2" operator="containsText" text="In Progress"/>
    <x:cfRule type="containsText" dxfId="9" priority="3" operator="containsText" text="In Review"/>
    <x:cfRule type="containsText" dxfId="13" priority="4" operator="containsText" text="Blocked"/>
    <x:cfRule type="containsText" dxfId="17" priority="5" operator="containsText" text="Not Started"/>
    <x:cfRule type="containsText" dxfId="21" priority="6" operator="containsText" text="Ready"/>
    <x:cfRule type="containsText" dxfId="25" priority="7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da1cc3b4d723448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Veso, identity,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2" t="n">
        <x:v>46255.666666666664</x:v>
      </x:c>
      <x:c r="B7" s="111" t="str">
        <x:v>P02-T11</x:v>
      </x:c>
      <x:c r="C7" s="111" t="str">
        <x:v>P02</x:v>
      </x:c>
      <x:c r="D7" s="111" t="str">
        <x:v>Publish and reconcile the Phase 2 worker foundation.</x:v>
      </x:c>
      <x:c r="E7" s="111" t="str">
        <x:v>PR #13 merged into dev as 6311522 from reviewed head 8a8688f; post-merge CI 32535922437 passed all three jobs, and the five scoped tracker records moved from In Review to Done.</x:v>
      </x:c>
      <x:c r="F7" s="111" t="str">
        <x:v>The durable canary foundation and PLAN-aligned tracker are now published, and the operating views accurately separate completed evidence from the remaining Phase 2 and Phase 4 gates.</x:v>
      </x:c>
      <x:c r="G7" s="111" t="str">
        <x:v>No product flow, provider, Redis store, deployment, live credential, creator approval, role promotion, or private-operations activation was added.</x:v>
      </x:c>
      <x:c r="H7" s="111" t="str">
        <x:v>https://github.com/QK-Connoisseur/PDoki/pull/13 · https://github.com/QK-Connoisseur/PDoki/actions/runs/32535922437</x:v>
      </x:c>
      <x:c r="I7" s="111" t="str">
        <x:v>Done</x:v>
      </x:c>
      <x:c r="J7" s="111" t="str">
        <x:v>Any new implementation and this reconciliation branch's publication remain separately gated.</x:v>
      </x:c>
      <x:c r="K7" s="111" t="str">
        <x:v>Seek a separate decision on the Phase 4 private-operations identity/access design and local verification scope.</x:v>
      </x:c>
      <x:c r="L7" s="111" t="str">
        <x:v>Codex</x:v>
      </x:c>
    </x:row>
    <x:row r="8" ht="58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1"/>
      <x:c r="K8" s="111"/>
      <x:c r="L8" s="111"/>
    </x:row>
    <x:row r="9" ht="58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1"/>
      <x:c r="K9" s="111"/>
      <x:c r="L9" s="111"/>
    </x:row>
    <x:row r="10" ht="58" customHeight="1">
      <x:c r="A10" s="111"/>
      <x:c r="B10" s="111"/>
      <x:c r="C10" s="111"/>
      <x:c r="D10" s="111"/>
      <x:c r="E10" s="111"/>
      <x:c r="F10" s="111"/>
      <x:c r="G10" s="111"/>
      <x:c r="H10" s="111"/>
      <x:c r="I10" s="111"/>
      <x:c r="J10" s="111"/>
      <x:c r="K10" s="111"/>
      <x:c r="L10" s="111"/>
    </x:row>
    <x:row r="11" ht="58" customHeight="1">
      <x:c r="A11" s="111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2" priority="1" operator="containsText" text="Done"/>
    <x:cfRule type="containsText" dxfId="6" priority="2" operator="containsText" text="In Progress"/>
    <x:cfRule type="containsText" dxfId="10" priority="3" operator="containsText" text="In Review"/>
    <x:cfRule type="containsText" dxfId="14" priority="4" operator="containsText" text="Blocked"/>
    <x:cfRule type="containsText" dxfId="18" priority="5" operator="containsText" text="Not Started"/>
    <x:cfRule type="containsText" dxfId="22" priority="6" operator="containsText" text="Ready"/>
    <x:cfRule type="containsText" dxfId="26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ff5266ed9647be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Done</x:v>
      </x:c>
      <x:c r="G7" s="111" t="str">
        <x:v>PR #13 merged into dev as 6311522 from reviewed head 8a8688f; exact-head and post-merge CI passed all three jobs.</x:v>
      </x:c>
      <x:c r="H7" s="111" t="str">
        <x:v>Preserve the fixed-canary and no-product-flow boundary; treat every further Phase 2 implementation or deployment step as separately gated.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 t="n">
        <x:v>46226.666666666664</x:v>
      </x:c>
      <x:c r="F8" s="111" t="str">
        <x:v>Blocked</x:v>
      </x:c>
      <x:c r="G8" s="111" t="str">
        <x:v>Local Mailpit and provider-neutral mail exist; production adult-business fit and deliverability remain open.</x:v>
      </x:c>
      <x:c r="H8" s="111" t="str">
        <x:v>Evaluate provider terms, authentication, bounce/complaint handling, retention, and cost.</x:v>
      </x:c>
      <x:c r="I8" s="111" t="str">
        <x:v>https://github.com/QK-Connoisseur/PDoki/tree/dev/docs/operations</x:v>
      </x:c>
      <x:c r="J8" s="112" t="n">
        <x:v>46255.666666666664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LLC attorney/CPA shortlist and entity state</x:v>
      </x:c>
      <x:c r="D9" s="111" t="str">
        <x:v>Founder</x:v>
      </x:c>
      <x:c r="E9" s="112" t="n">
        <x:v>46233.666666666664</x:v>
      </x:c>
      <x:c r="F9" s="111" t="str">
        <x:v>Blocked</x:v>
      </x:c>
      <x:c r="G9" s="111" t="str">
        <x:v>No entity is filed.</x:v>
      </x:c>
      <x:c r="H9" s="111" t="str">
        <x:v>Obtain qualified privacy-focused adult-platform legal and tax advice.</x:v>
      </x:c>
      <x:c r="I9" s="111" t="str"/>
      <x:c r="J9" s="112" t="n">
        <x:v>46255.666666666664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CCBill requirements and fee quote</x:v>
      </x:c>
      <x:c r="D10" s="111" t="str">
        <x:v>Founder</x:v>
      </x:c>
      <x:c r="E10" s="112" t="n">
        <x:v>46233.666666666664</x:v>
      </x:c>
      <x:c r="F10" s="111" t="str">
        <x:v>Blocked</x:v>
      </x:c>
      <x:c r="G10" s="111" t="str">
        <x:v>Merchant application and concrete pricing have not started.</x:v>
      </x:c>
      <x:c r="H10" s="111" t="str">
        <x:v>Request the merchant package, technical documents, and complete fee quote.</x:v>
      </x:c>
      <x:c r="I10" s="111" t="str"/>
      <x:c r="J10" s="112" t="n">
        <x:v>46255.666666666664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Payment, payout, identity, adult-content law, privacy, tax, sanctions, and support coverage remain open.</x:v>
      </x:c>
      <x:c r="H13" s="111" t="str">
        <x:v>Start with the US and only supported Latin American countries after review.</x:v>
      </x:c>
      <x:c r="I13" s="111" t="str"/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payout, refund, and Veso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Processor fees, chargebacks, reserves, taxes, Founding discounts, payout cadence, and minimum remain undecided.</x:v>
      </x:c>
      <x:c r="H14" s="111" t="str">
        <x:v>Model economics from real processor quotes before publishing terms.</x:v>
      </x:c>
      <x:c r="I14" s="111" t="str"/>
      <x:c r="J14" s="112" t="n">
        <x:v>46255.666666666664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Blocked</x:v>
      </x:c>
      <x:c r="G16" s="111" t="str">
        <x:v>Templates exist, but live restricted origin, verifier, enrollment, testing, and approval do not.</x:v>
      </x:c>
      <x:c r="H16" s="111" t="str">
        <x:v>Approve an isolated identity/access design and local/staging verification slice.</x:v>
      </x:c>
      <x:c r="I16" s="111" t="str">
        <x:v>https://github.com/QK-Connoisseur/PDoki/blob/dev/docs/operations/README.md</x:v>
      </x:c>
      <x:c r="J16" s="112" t="n">
        <x:v>46255.666666666664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Founder</x:v>
      </x:c>
      <x:c r="E18" s="112"/>
      <x:c r="F18" s="111" t="str">
        <x:v>Ready</x:v>
      </x:c>
      <x:c r="G18" s="111" t="str">
        <x:v>The preserved Year 1 total ($1,713) does not reconcile to the visible one-time, annual, and monthly figures; no value was changed.</x:v>
      </x:c>
      <x:c r="H18" s="111" t="str">
        <x:v>Review the intended cost assumptions and authorize a separate expense-formula correction if desired.</x:v>
      </x:c>
      <x:c r="I18" s="111" t="str"/>
      <x:c r="J18" s="112" t="n">
        <x:v>46255.666666666664</x:v>
      </x:c>
    </x:row>
  </x:sheetData>
  <x:mergeCells>
    <x:mergeCell ref="A1:J1"/>
    <x:mergeCell ref="A2:J2"/>
  </x:mergeCells>
  <x:conditionalFormatting sqref="F4:F18">
    <x:cfRule type="containsText" dxfId="3" priority="1" operator="containsText" text="Done"/>
    <x:cfRule type="containsText" dxfId="7" priority="2" operator="containsText" text="In Progress"/>
    <x:cfRule type="containsText" dxfId="11" priority="3" operator="containsText" text="In Review"/>
    <x:cfRule type="containsText" dxfId="15" priority="4" operator="containsText" text="Blocked"/>
    <x:cfRule type="containsText" dxfId="19" priority="5" operator="containsText" text="Not Started"/>
    <x:cfRule type="containsText" dxfId="23" priority="6" operator="containsText" text="Ready"/>
    <x:cfRule type="containsText" dxfId="27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a1f47b77a3457f"/>
  </x:tableParts>
</x:worksheet>
</file>