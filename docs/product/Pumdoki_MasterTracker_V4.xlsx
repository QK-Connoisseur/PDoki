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b6f08e878849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38c2234046b8464c"/>
    <x:sheet xmlns:r="http://schemas.openxmlformats.org/officeDocument/2006/relationships" name="Master Tracker" sheetId="2" r:id="R1b2c8338b93a4688"/>
    <x:sheet xmlns:r="http://schemas.openxmlformats.org/officeDocument/2006/relationships" name="Backlog" sheetId="3" r:id="R124ff7d611be405f"/>
    <x:sheet xmlns:r="http://schemas.openxmlformats.org/officeDocument/2006/relationships" name="Notes &amp; Assumptions" sheetId="4" r:id="Rb08389583c244efc"/>
    <x:sheet xmlns:r="http://schemas.openxmlformats.org/officeDocument/2006/relationships" name="💸 Expense Tracker" sheetId="5" r:id="R767b57c29b174fd3"/>
  </x:sheets>
</x:workbook>
</file>

<file path=xl/sharedStrings.xml><?xml version="1.0" encoding="utf-8"?>
<x:sst xmlns:x="http://schemas.openxmlformats.org/spreadsheetml/2006/main">
  <x:si>
    <x:t xml:space="preserve">🌸  Pumdoki Master Build Tracker</x:t>
  </x:si>
  <x:si>
    <x:t xml:space="preserve">Google Sheets-compatible workbook built from existing Pumdoki planning context.</x:t>
  </x:si>
  <x:si>
    <x:t xml:space="preserve">📋 MVP Tracker Summary</x:t>
  </x:si>
  <x:si>
    <x:t xml:space="preserve">📦 Post-MVP Backlog</x:t>
  </x:si>
  <x:si>
    <x:t xml:space="preserve">Total MVP tasks</x:t>
  </x:si>
  <x:si>
    <x:t xml:space="preserve">Total backlog items</x:t>
  </x:si>
  <x:si>
    <x:t xml:space="preserve">✅ Done</x:t>
  </x:si>
  <x:si>
    <x:t xml:space="preserve">📋 Not Started</x:t>
  </x:si>
  <x:si>
    <x:t xml:space="preserve">🔄 In Progress</x:t>
  </x:si>
  <x:si>
    <x:t xml:space="preserve">% Complete</x:t>
  </x:si>
  <x:si>
    <x:t xml:space="preserve">Status legend</x:t>
  </x:si>
  <x:si>
    <x:t xml:space="preserve">Project notes</x:t>
  </x:si>
  <x:si>
    <x:t xml:space="preserve">• Items without clear evidence of completion defaulted to Not Started.</x:t>
  </x:si>
  <x:si>
    <x:t xml:space="preserve">• Use the Master Tracker sheet as the working project manager view.</x:t>
  </x:si>
  <x:si>
    <x:t xml:space="preserve">• Upload this .xlsx to Google Sheets for online collaboration.</x:t>
  </x:si>
  <x:si>
    <x:t xml:space="preserve">• Infra locked: AWS (app/DB) + Cloudflare R2 (media).</x:t>
  </x:si>
  <x:si>
    <x:t xml:space="preserve">• Payments locked: CCBill (primary) + Epoch (cascade/fallback).</x:t>
  </x:si>
  <x:si>
    <x:t xml:space="preserve">• Future: Crypto payments (USDT/BTC) planned post-MVP.</x:t>
  </x:si>
  <x:si>
    <x:t xml:space="preserve">🌸  PUMDOKI — Master Build Checklist</x:t>
  </x:si>
  <x:si>
    <x:t xml:space="preserve">A space for creators, members, and real interaction.</x:t>
  </x:si>
  <x:si>
    <x:t xml:space="preserve">Phase / Item</x:t>
  </x:si>
  <x:si>
    <x:t xml:space="preserve">Description</x:t>
  </x:si>
  <x:si>
    <x:t xml:space="preserve">Status</x:t>
  </x:si>
  <x:si>
    <x:t xml:space="preserve">Notes</x:t>
  </x:si>
  <x:si>
    <x:t xml:space="preserve">🎯  PHASE 1 — Strategy &amp; Scope</x:t>
  </x:si>
  <x:si>
    <x:t xml:space="preserve">Define core value proposition</x:t>
  </x:si>
  <x:si>
    <x:t xml:space="preserve">Lock the core promise for creators, members, and interaction.</x:t>
  </x:si>
  <x:si>
    <x:t xml:space="preserve">Positioning: 'A space for creators, members, and real interaction.'</x:t>
  </x:si>
  <x:si>
    <x:t xml:space="preserve">Lock MVP scope</x:t>
  </x:si>
  <x:si>
    <x:t xml:space="preserve">Subscriptions-first, NSFW at launch. Confirm what is excluded from v1.</x:t>
  </x:si>
  <x:si>
    <x:t xml:space="preserve">MVP scope set.</x:t>
  </x:si>
  <x:si>
    <x:t xml:space="preserve">Document post-MVP delays</x:t>
  </x:si>
  <x:si>
    <x:t xml:space="preserve">Keep live streaming, advanced chat, tipping, PPV, analytics, rec engine, extra themes, gamification out of MVP.</x:t>
  </x:si>
  <x:si>
    <x:t xml:space="preserve">MVP vs later items distinguished.</x:t>
  </x:si>
  <x:si>
    <x:t xml:space="preserve">Convert roadmap into phase plan</x:t>
  </x:si>
  <x:si>
    <x:t xml:space="preserve">Break work into design, build, test, beta, and launch phases.</x:t>
  </x:si>
  <x:si>
    <x:t xml:space="preserve">Set launch KPIs</x:t>
  </x:si>
  <x:si>
    <x:t xml:space="preserve">Define targets: creators onboarded, paid members, conversion, retention, bug rate.</x:t>
  </x:si>
  <x:si>
    <x:t xml:space="preserve">Needed before beta/public launch.</x:t>
  </x:si>
  <x:si>
    <x:t xml:space="preserve">⚖️  PHASE 2 — Legal &amp; Compliance</x:t>
  </x:si>
  <x:si>
    <x:t xml:space="preserve">Draft Terms of Service</x:t>
  </x:si>
  <x:si>
    <x:t xml:space="preserve">Prepare terms governing platform use, NSFW content rules, user responsibilities, dispute resolution.</x:t>
  </x:si>
  <x:si>
    <x:t xml:space="preserve">Must exist before launch.</x:t>
  </x:si>
  <x:si>
    <x:t xml:space="preserve">Draft Privacy Policy</x:t>
  </x:si>
  <x:si>
    <x:t xml:space="preserve">Data collection, cookies, third-party sharing, CCPA/GDPR rights, data retention.</x:t>
  </x:si>
  <x:si>
    <x:t xml:space="preserve">Privacy layers discussed; formal draft needed.</x:t>
  </x:si>
  <x:si>
    <x:t xml:space="preserve">Draft Community / Platform Rules</x:t>
  </x:si>
  <x:si>
    <x:t xml:space="preserve">State permitted and prohibited activity clearly for creators and members.</x:t>
  </x:si>
  <x:si>
    <x:t xml:space="preserve">Required for moderation consistency.</x:t>
  </x:si>
  <x:si>
    <x:t xml:space="preserve">Draft Acceptable Use Policy</x:t>
  </x:si>
  <x:si>
    <x:t xml:space="preserve">No minors, no non-consensual content, no illegal material, no harassment.</x:t>
  </x:si>
  <x:si>
    <x:t xml:space="preserve">Separates from ToS for clarity and enforcement.</x:t>
  </x:si>
  <x:si>
    <x:t xml:space="preserve">Create DMCA Policy &amp; Takedown Process</x:t>
  </x:si>
  <x:si>
    <x:t xml:space="preserve">Copyright reporting form, designated agent, response procedures (17 USC §512).</x:t>
  </x:si>
  <x:si>
    <x:t xml:space="preserve">Required for content platforms.</x:t>
  </x:si>
  <x:si>
    <x:t xml:space="preserve">Implement 18 USC §2257 Recordkeeping</x:t>
  </x:si>
  <x:si>
    <x:t xml:space="preserve">Maintain age verification records for performers in sexually explicit content. Display §2257 compliance statement.</x:t>
  </x:si>
  <x:si>
    <x:t xml:space="preserve">Federal requirement for adult content platforms.</x:t>
  </x:si>
  <x:si>
    <x:t xml:space="preserve">Draft Cookie Policy &amp; Consent Banner</x:t>
  </x:si>
  <x:si>
    <x:t xml:space="preserve">Disclose cookie usage, purposes, opt-out. Implement consent UI (required for GDPR/ePrivacy).</x:t>
  </x:si>
  <x:si>
    <x:t xml:space="preserve">Required for EU visitors; best practice globally.</x:t>
  </x:si>
  <x:si>
    <x:t xml:space="preserve">Implement GDPR Compliance</x:t>
  </x:si>
  <x:si>
    <x:t xml:space="preserve">Right to access, deletion, data portability, consent management, DPA with processors.</x:t>
  </x:si>
  <x:si>
    <x:t xml:space="preserve">Required if serving EU users.</x:t>
  </x:si>
  <x:si>
    <x:t xml:space="preserve">Implement CCPA/CPRA Compliance</x:t>
  </x:si>
  <x:si>
    <x:t xml:space="preserve">'Do Not Sell' opt-out, privacy notice for CA residents, data deletion requests.</x:t>
  </x:si>
  <x:si>
    <x:t xml:space="preserve">Required if serving California users.</x:t>
  </x:si>
  <x:si>
    <x:t xml:space="preserve">Prepare Payment Provider Compliance Package</x:t>
  </x:si>
  <x:si>
    <x:t xml:space="preserve">Document policies/controls required by CCBill and Epoch for merchant onboarding.</x:t>
  </x:si>
  <x:si>
    <x:t xml:space="preserve">Draft Creator Agreement / Payout Terms</x:t>
  </x:si>
  <x:si>
    <x:t xml:space="preserve">Creator obligations: content ownership, tax (W-9/W-8BEN), payout terms, prohibited content.</x:t>
  </x:si>
  <x:si>
    <x:t xml:space="preserve">Needed before creator onboarding.</x:t>
  </x:si>
  <x:si>
    <x:t xml:space="preserve">Implement Visa/Mastercard BRAM Compliance</x:t>
  </x:si>
  <x:si>
    <x:t xml:space="preserve">Meet Brand Risk and Acquirer Monitoring requirements for adult merchants.</x:t>
  </x:si>
  <x:si>
    <x:t xml:space="preserve">Card network requirement for adult sites.</x:t>
  </x:si>
  <x:si>
    <x:t xml:space="preserve">Finalize Trademark Filing Plan</x:t>
  </x:si>
  <x:si>
    <x:t xml:space="preserve">Decide classes (IC 009, 035, 042), timing, filing sequence for 'Pumdoki' and 'Veso'.</x:t>
  </x:si>
  <x:si>
    <x:t xml:space="preserve">Trademark timing/classes already considered.</x:t>
  </x:si>
  <x:si>
    <x:t xml:space="preserve">Finalize Domain Management</x:t>
  </x:si>
  <x:si>
    <x:t xml:space="preserve">Secure primary domains and variants (.com, .net, etc.).</x:t>
  </x:si>
  <x:si>
    <x:t xml:space="preserve">Domain strategy already considered.</x:t>
  </x:si>
  <x:si>
    <x:t xml:space="preserve">Address MD Business Registration Privacy</x:t>
  </x:si>
  <x:si>
    <x:t xml:space="preserve">Manage privacy concerns — MD biz records may expose personal identity linked to NSFW platform.</x:t>
  </x:si>
  <x:si>
    <x:t xml:space="preserve">Implement Accessibility Basics (ADA/WCAG)</x:t>
  </x:si>
  <x:si>
    <x:t xml:space="preserve">Alt text, keyboard navigation, contrast ratios, screen reader compatibility.</x:t>
  </x:si>
  <x:si>
    <x:t xml:space="preserve">Best practice; reduces legal risk.</x:t>
  </x:si>
  <x:si>
    <x:t xml:space="preserve">Draft Anti-Human Trafficking Policy</x:t>
  </x:si>
  <x:si>
    <x:t xml:space="preserve">Prohibit trafficking, exploitation, coercive content. Include reporting mechanisms and creator guidance.</x:t>
  </x:si>
  <x:si>
    <x:t xml:space="preserve">Required by CCBill/Epoch for merchant onboarding.</x:t>
  </x:si>
  <x:si>
    <x:t xml:space="preserve">Draft Non-Consensual Content Policy</x:t>
  </x:si>
  <x:si>
    <x:t xml:space="preserve">Standalone policy prohibiting NCII. Define removal process, reporting path, and creator obligations.</x:t>
  </x:si>
  <x:si>
    <x:t xml:space="preserve">Must be its own doc for payment processor and Visa/MC BRAM review.</x:t>
  </x:si>
  <x:si>
    <x:t xml:space="preserve">Implement US Take It Down Act Compliance</x:t>
  </x:si>
  <x:si>
    <x:t xml:space="preserve">Written policy + removal workflow for non-consensual intimate images. Must action valid removal within 48 hours.</x:t>
  </x:si>
  <x:si>
    <x:t xml:space="preserve">Federal law signed 2025. Non-compliance is a federal offense.</x:t>
  </x:si>
  <x:si>
    <x:t xml:space="preserve">Draft Law Enforcement Request Policy</x:t>
  </x:si>
  <x:si>
    <x:t xml:space="preserve">Define process for handling government and LEA data requests — disclosure, legal basis, user notification.</x:t>
  </x:si>
  <x:si>
    <x:t xml:space="preserve">Commonly reviewed during CCBill/Epoch onboarding.</x:t>
  </x:si>
  <x:si>
    <x:t xml:space="preserve">Draft Appeals Policy</x:t>
  </x:si>
  <x:si>
    <x:t xml:space="preserve">Documented process for creators and members to appeal content removals, account suspensions, or payment holds.</x:t>
  </x:si>
  <x:si>
    <x:t xml:space="preserve">Needed before creator onboarding begins.</x:t>
  </x:si>
  <x:si>
    <x:t xml:space="preserve">Draft Complaint Policy</x:t>
  </x:si>
  <x:si>
    <x:t xml:space="preserve">Formal intake process for user complaints beyond DMCA — billing disputes, harassment, platform conduct.</x:t>
  </x:si>
  <x:si>
    <x:t xml:space="preserve">Best practice globally; supports EU DSA/P2B compliance.</x:t>
  </x:si>
  <x:si>
    <x:t xml:space="preserve">Draft Anti-Spam Policy</x:t>
  </x:si>
  <x:si>
    <x:t xml:space="preserve">Rules governing creator messaging to members, platform notifications, and marketing emails.</x:t>
  </x:si>
  <x:si>
    <x:t xml:space="preserve">Needed before the email/notification system goes live.</x:t>
  </x:si>
  <x:si>
    <x:t xml:space="preserve">Draft Platform-to-Business (P2B) Terms</x:t>
  </x:si>
  <x:si>
    <x:t xml:space="preserve">EU P2B regulation disclosure for creators — ranking criteria, access termination conditions, dispute options.</x:t>
  </x:si>
  <x:si>
    <x:t xml:space="preserve">Conditional on EU launch scope. Low effort to draft.</x:t>
  </x:si>
  <x:si>
    <x:t xml:space="preserve">🎨  PHASE 3 — Brand &amp; Design</x:t>
  </x:si>
  <x:si>
    <x:t xml:space="preserve">Finalize brand aesthetic &amp; color system</x:t>
  </x:si>
  <x:si>
    <x:t xml:space="preserve">Confirm pink / sakura visual direction and supporting palette.</x:t>
  </x:si>
  <x:si>
    <x:t xml:space="preserve">Brand direction established.</x:t>
  </x:si>
  <x:si>
    <x:t xml:space="preserve">Finalize logo / wordmark</x:t>
  </x:si>
  <x:si>
    <x:t xml:space="preserve">Lock minimal premium wordmark. Symbol: heart + sakura petal + heartbeat + rounded sans-serif.</x:t>
  </x:si>
  <x:si>
    <x:t xml:space="preserve">Direction exists; final asset lock not confirmed.</x:t>
  </x:si>
  <x:si>
    <x:t xml:space="preserve">Finalize homepage messaging</x:t>
  </x:si>
  <x:si>
    <x:t xml:space="preserve">Polish hero copy, value prop, marketing text. Avoid 'Softer'; feel inclusive, not creator-first.</x:t>
  </x:si>
  <x:si>
    <x:t xml:space="preserve">Draft messaging exists; final copy not confirmed.</x:t>
  </x:si>
  <x:si>
    <x:t xml:space="preserve">Define creator theme ladders</x:t>
  </x:si>
  <x:si>
    <x:t xml:space="preserve">Floral: Petal→Bloom→Sakura→Golden Sakura→Eternal Sakura. Ember: Ember→Ignite→Flare→Inferno→Eternal Flame.</x:t>
  </x:si>
  <x:si>
    <x:t xml:space="preserve">Theme ladder concepts defined.</x:t>
  </x:si>
  <x:si>
    <x:t xml:space="preserve">Build reusable design system</x:t>
  </x:si>
  <x:si>
    <x:t xml:space="preserve">Buttons, cards, tabs, modals, badges, pricing modules, feed cards, locked-content previews.</x:t>
  </x:si>
  <x:si>
    <x:t xml:space="preserve">Implied by active UI/front-end development.</x:t>
  </x:si>
  <x:si>
    <x:t xml:space="preserve">Finalize responsive / mobile layouts</x:t>
  </x:si>
  <x:si>
    <x:t xml:space="preserve">Ensure primary flows work cleanly on mobile and desktop.</x:t>
  </x:si>
  <x:si>
    <x:t xml:space="preserve">Required early; tracked as active design work.</x:t>
  </x:si>
  <x:si>
    <x:t xml:space="preserve">Implement Dark Knight theme</x:t>
  </x:si>
  <x:si>
    <x:t xml:space="preserve">Second default theme (dark/charcoal). Near-black backgrounds, deep tones, pink accent. Toggle in Settings. All users get this free alongside Sakura Pink.</x:t>
  </x:si>
  <x:si>
    <x:t xml:space="preserve">Committed as a default theme — not premium. CSS variable overrides over existing system. Do not skip.</x:t>
  </x:si>
  <x:si>
    <x:t xml:space="preserve">Design Founding Creator / Member badge program</x:t>
  </x:si>
  <x:si>
    <x:t xml:space="preserve">Define badge visuals, eligibility window (first N users or date window), locked-in fee reduction for Founding Creators, badge display on profiles and posts.</x:t>
  </x:si>
  <x:si>
    <x:t xml:space="preserve">First 500 creators get permanent Founding Creator badge + reduced platform commission. First 500 members get Founding Member badge + discount. Drives early community loyalty.</x:t>
  </x:si>
  <x:si>
    <x:t xml:space="preserve">🏗️  PHASE 4 — Backend &amp; Infrastructure</x:t>
  </x:si>
  <x:si>
    <x:t xml:space="preserve">Define AWS architecture</x:t>
  </x:si>
  <x:si>
    <x:t xml:space="preserve">EC2/ECS for app, RDS PostgreSQL for DB, Cloudflare R2 for media storage/CDN.</x:t>
  </x:si>
  <x:si>
    <x:t xml:space="preserve">AWS (app/DB) + Cloudflare R2 (media) confirmed.</x:t>
  </x:si>
  <x:si>
    <x:t xml:space="preserve">Set up Cloudflare R2 media storage</x:t>
  </x:si>
  <x:si>
    <x:t xml:space="preserve">Configure R2 buckets, access policies, signed URLs for private media, CDN caching.</x:t>
  </x:si>
  <x:si>
    <x:t xml:space="preserve">R2 chosen for NSFW-safe media delivery.</x:t>
  </x:si>
  <x:si>
    <x:t xml:space="preserve">Define RDS PostgreSQL schema</x:t>
  </x:si>
  <x:si>
    <x:t xml:space="preserve">Model users, creators, posts, subscriptions, plans, transactions, Veso wallets, moderation.</x:t>
  </x:si>
  <x:si>
    <x:t xml:space="preserve">Set up local / staging / prod environments</x:t>
  </x:si>
  <x:si>
    <x:t xml:space="preserve">Separate environments, secrets handling, .env management.</x:t>
  </x:si>
  <x:si>
    <x:t xml:space="preserve">Define API structure</x:t>
  </x:si>
  <x:si>
    <x:t xml:space="preserve">Map endpoints: auth, content, subscriptions, payments, moderation, admin, notifications.</x:t>
  </x:si>
  <x:si>
    <x:t xml:space="preserve">Implement logging &amp; monitoring</x:t>
  </x:si>
  <x:si>
    <x:t xml:space="preserve">Error tracking, structured logs, operational visibility (CloudWatch, Sentry).</x:t>
  </x:si>
  <x:si>
    <x:t xml:space="preserve">Implement backups &amp; recovery plan</x:t>
  </x:si>
  <x:si>
    <x:t xml:space="preserve">Automated RDS snapshots, R2 versioning, disaster recovery.</x:t>
  </x:si>
  <x:si>
    <x:t xml:space="preserve">Required for production readiness.</x:t>
  </x:si>
  <x:si>
    <x:t xml:space="preserve">Add rate limiting &amp; abuse protection</x:t>
  </x:si>
  <x:si>
    <x:t xml:space="preserve">Anti-scraping, anti-spam, brute-force protection, credential abuse.</x:t>
  </x:si>
  <x:si>
    <x:t xml:space="preserve">Set up CI/CD pipeline</x:t>
  </x:si>
  <x:si>
    <x:t xml:space="preserve">Automate testing and deployment from Git branches to staging/production.</x:t>
  </x:si>
  <x:si>
    <x:t xml:space="preserve">Configure SSL/TLS &amp; domain DNS</x:t>
  </x:si>
  <x:si>
    <x:t xml:space="preserve">HTTPS everywhere, DNS records, certificate management.</x:t>
  </x:si>
  <x:si>
    <x:t xml:space="preserve">Required for production.</x:t>
  </x:si>
  <x:si>
    <x:t xml:space="preserve">🔐  PHASE 5 — Accounts, Auth &amp; Roles</x:t>
  </x:si>
  <x:si>
    <x:t xml:space="preserve">Implement account creation &amp; login/logout</x:t>
  </x:si>
  <x:si>
    <x:t xml:space="preserve">Create working auth flows, not just screens.</x:t>
  </x:si>
  <x:si>
    <x:t xml:space="preserve">Implement creator/member/admin roles</x:t>
  </x:si>
  <x:si>
    <x:t xml:space="preserve">Role-based permissions and access boundaries.</x:t>
  </x:si>
  <x:si>
    <x:t xml:space="preserve">Implement session management</x:t>
  </x:si>
  <x:si>
    <x:t xml:space="preserve">Signed-in state, token/session renewal, logout behavior.</x:t>
  </x:si>
  <x:si>
    <x:t xml:space="preserve">Build onboarding flows</x:t>
  </x:si>
  <x:si>
    <x:t xml:space="preserve">First-run setup for creators (incl. theme selection: Floral/Ember) and members.</x:t>
  </x:si>
  <x:si>
    <x:t xml:space="preserve">Add 18+ entry gate &amp; age verification</x:t>
  </x:si>
  <x:si>
    <x:t xml:space="preserve">Consent gating and age/compliance checks at platform entry.</x:t>
  </x:si>
  <x:si>
    <x:t xml:space="preserve">Implement email verification</x:t>
  </x:si>
  <x:si>
    <x:t xml:space="preserve">Require email confirmation for new accounts.</x:t>
  </x:si>
  <x:si>
    <x:t xml:space="preserve">Implement password reset flow</x:t>
  </x:si>
  <x:si>
    <x:t xml:space="preserve">Secure forgot-password and recovery process.</x:t>
  </x:si>
  <x:si>
    <x:t xml:space="preserve">💻  PHASE 6 — Frontend &amp; UX</x:t>
  </x:si>
  <x:si>
    <x:t xml:space="preserve">Build homepage (logged-in feed)</x:t>
  </x:si>
  <x:si>
    <x:t xml:space="preserve">Implement the main logged-in home experience with heart story rail and Following/For You tabs.</x:t>
  </x:si>
  <x:si>
    <x:t xml:space="preserve">Feed page designed with heart rail and tab system. Functional layout confirmed.</x:t>
  </x:si>
  <x:si>
    <x:t xml:space="preserve">Build landing page</x:t>
  </x:si>
  <x:si>
    <x:t xml:space="preserve">Public-facing marketing/conversion page for new visitors.</x:t>
  </x:si>
  <x:si>
    <x:t xml:space="preserve">Auth/landing split screen complete. Raining hearts animation working. +18 checkbox present.</x:t>
  </x:si>
  <x:si>
    <x:t xml:space="preserve">Build creator profile pages</x:t>
  </x:si>
  <x:si>
    <x:t xml:space="preserve">Public creator profiles with plans, content previews, tier display, services tab, highlights.</x:t>
  </x:si>
  <x:si>
    <x:t xml:space="preserve">Profile page designed. Services tab, heart highlights, subscribe button visible.</x:t>
  </x:si>
  <x:si>
    <x:t xml:space="preserve">Build feed / discovery page</x:t>
  </x:si>
  <x:si>
    <x:t xml:space="preserve">Hybrid discovery feed: For You + Following tabs, heart story rail.</x:t>
  </x:si>
  <x:si>
    <x:t xml:space="preserve">Heart rail + Following/For You hybrid implemented in design.</x:t>
  </x:si>
  <x:si>
    <x:t xml:space="preserve">Build subscription / pricing page</x:t>
  </x:si>
  <x:si>
    <x:t xml:space="preserve">Tier display: Standard (Doki 1–3), Premium (Super Doki 1–2), Ultimate (Doki Legend).</x:t>
  </x:si>
  <x:si>
    <x:t xml:space="preserve">Part of the active front-end build.</x:t>
  </x:si>
  <x:si>
    <x:t xml:space="preserve">Build login / signup screens</x:t>
  </x:si>
  <x:si>
    <x:t xml:space="preserve">Account entry screens for creators and members.</x:t>
  </x:si>
  <x:si>
    <x:t xml:space="preserve">Auth screen complete. Welcome back card, Google SSO, create account flow present.</x:t>
  </x:si>
  <x:si>
    <x:t xml:space="preserve">Implement story rail / For You model</x:t>
  </x:si>
  <x:si>
    <x:t xml:space="preserve">Translate the interaction/feed architecture into actual UI behavior.</x:t>
  </x:si>
  <x:si>
    <x:t xml:space="preserve">Architecture defined; build not confirmed.</x:t>
  </x:si>
  <x:si>
    <x:t xml:space="preserve">Implement locked-content previews</x:t>
  </x:si>
  <x:si>
    <x:t xml:space="preserve">Teasers and premium access states in cards and posts.</x:t>
  </x:si>
  <x:si>
    <x:t xml:space="preserve">Implement membership tier modules</x:t>
  </x:si>
  <x:si>
    <x:t xml:space="preserve">Doki / SuperDoki / Doki Legend plan modules on creator pages.</x:t>
  </x:si>
  <x:si>
    <x:t xml:space="preserve">Build Store page</x:t>
  </x:si>
  <x:si>
    <x:t xml:space="preserve">Pumdoki Store front-end (Git branch: Store).</x:t>
  </x:si>
  <x:si>
    <x:t xml:space="preserve">Build Connect page</x:t>
  </x:si>
  <x:si>
    <x:t xml:space="preserve">Social discovery front-end for session bookings (E-Chat, Voice Call, Video Call, Game With Me).</x:t>
  </x:si>
  <x:si>
    <x:t xml:space="preserve">Build Chat UI</x:t>
  </x:si>
  <x:si>
    <x:t xml:space="preserve">Build Veso wallet page</x:t>
  </x:si>
  <x:si>
    <x:t xml:space="preserve">Member-facing wallet: Veso balance display, add funds flow, transaction history. 1 Veso = 1 USD. Keep it simple for MVP.</x:t>
  </x:si>
  <x:si>
    <x:t xml:space="preserve">Implement NSFW +18 content toggle</x:t>
  </x:si>
  <x:si>
    <x:t xml:space="preserve">Build settings page</x:t>
  </x:si>
  <x:si>
    <x:t xml:space="preserve">Account info, password change, notification preferences, theme toggle (Sakura Pink / Dark Knight), NSFW content toggle, payment/billing section.</x:t>
  </x:si>
  <x:si>
    <x:t xml:space="preserve">Keep minimal for MVP. Theme toggle and NSFW toggle are the critical elements.</x:t>
  </x:si>
  <x:si>
    <x:t xml:space="preserve">Build help / support page</x:t>
  </x:si>
  <x:si>
    <x:t xml:space="preserve">Basic FAQ page with accordion answers + simple contact/support form routed to founder inbox.</x:t>
  </x:si>
  <x:si>
    <x:t xml:space="preserve">Plain and functional for MVP. Expands post-launch.</x:t>
  </x:si>
  <x:si>
    <x:t xml:space="preserve">Build 'Your Activity' page</x:t>
  </x:si>
  <x:si>
    <x:t xml:space="preserve">Member activity history: posts liked, content purchased, subscriptions, Veso spent. Lower priority.</x:t>
  </x:si>
  <x:si>
    <x:t xml:space="preserve">Nice-to-have post-launch. Defer if time is tight.</x:t>
  </x:si>
  <x:si>
    <x:t xml:space="preserve">Improve Create Post ('Moments') modal</x:t>
  </x:si>
  <x:si>
    <x:t xml:space="preserve">Replace generic 'What's on your mind?' with Pumdoki-voice copy. Add locked/subscriber-only content state. Improve layout and brand feel.</x:t>
  </x:si>
  <x:si>
    <x:t xml:space="preserve">Basic modal exists. Needs Pumdoki language, locked content toggle, and improved visual polish.</x:t>
  </x:si>
  <x:si>
    <x:t xml:space="preserve">Improve side navigation drawer</x:t>
  </x:si>
  <x:si>
    <x:t xml:space="preserve">Make drawer slightly larger and use darker, more vibrant colors. Currently blends too much into the background — needs presence like Instagram's nav.</x:t>
  </x:si>
  <x:si>
    <x:t xml:space="preserve">Drawer functional but visually weak. Increase icon size, darken colors, improve active state.</x:t>
  </x:si>
  <x:si>
    <x:t xml:space="preserve">Fix chat: offline avatar + notification badge</x:t>
  </x:si>
  <x:si>
    <x:t xml:space="preserve">Show creator offline avatar/indicator when creator is offline. Show unread notification badge on minimized chat. Currently missing both.</x:t>
  </x:si>
  <x:si>
    <x:t xml:space="preserve">Chat functional but missing offline state and notification badge on minimized view.</x:t>
  </x:si>
  <x:si>
    <x:t xml:space="preserve">Build creator dashboard UI</x:t>
  </x:si>
  <x:si>
    <x:t xml:space="preserve">Creator-facing analytics dashboard: revenue chart, active subscribers, profile visits, live activity feed, revenue by source, top performing posts, top fans, quick actions.</x:t>
  </x:si>
  <x:si>
    <x:t xml:space="preserve">Improve landing page posts visuals</x:t>
  </x:si>
  <x:si>
    <x:t xml:space="preserve">Add a checkmark, a follow buttom, re-arrenge For You / Following and flip sides, add logic to For You (X inspired), </x:t>
  </x:si>
  <x:si>
    <x:t xml:space="preserve">Post visual already in place. Need to add more features and complex logic to the For You page</x:t>
  </x:si>
  <x:si>
    <x:t xml:space="preserve">📸  PHASE 7 — Content &amp; Media</x:t>
  </x:si>
  <x:si>
    <x:t xml:space="preserve">Define post / content model</x:t>
  </x:si>
  <x:si>
    <x:t xml:space="preserve">Creator posting, visibility flags (public/subscriber/tier-locked), member access rules.</x:t>
  </x:si>
  <x:si>
    <x:t xml:space="preserve">Core content object needs build.</x:t>
  </x:si>
  <x:si>
    <x:t xml:space="preserve">Build media upload pipeline</x:t>
  </x:si>
  <x:si>
    <x:t xml:space="preserve">Image/video upload → Cloudflare R2 storage → signed URL delivery.</x:t>
  </x:si>
  <x:si>
    <x:t xml:space="preserve">Launch-critical capability.</x:t>
  </x:si>
  <x:si>
    <x:t xml:space="preserve">Define public vs private asset rules</x:t>
  </x:si>
  <x:si>
    <x:t xml:space="preserve">Separate teaser, paid, and internal assets with signed URL gating.</x:t>
  </x:si>
  <x:si>
    <x:t xml:space="preserve">Needed for secure access gating.</x:t>
  </x:si>
  <x:si>
    <x:t xml:space="preserve">Implement media optimization</x:t>
  </x:si>
  <x:si>
    <x:t xml:space="preserve">Compress/transcode images and video (thumbnails, adaptive quality).</x:t>
  </x:si>
  <x:si>
    <x:t xml:space="preserve">Needed for smoother UX.</x:t>
  </x:si>
  <x:si>
    <x:t xml:space="preserve">Implement watermarking / content protection</x:t>
  </x:si>
  <x:si>
    <x:t xml:space="preserve">Visible + invisible watermarks to reduce re-sharing risk.</x:t>
  </x:si>
  <x:si>
    <x:t xml:space="preserve">Protection planning in scope.</x:t>
  </x:si>
  <x:si>
    <x:t xml:space="preserve">Build moderation review flow</x:t>
  </x:si>
  <x:si>
    <x:t xml:space="preserve">Flagged items reviewed and actioned by admin.</x:t>
  </x:si>
  <x:si>
    <x:t xml:space="preserve">Required for platform operations.</x:t>
  </x:si>
  <x:si>
    <x:t xml:space="preserve">💰  PHASE 8 — Payments &amp; Monetization</x:t>
  </x:si>
  <x:si>
    <x:t xml:space="preserve">Integrate CCBill (primary processor)</x:t>
  </x:si>
  <x:si>
    <x:t xml:space="preserve">Set up merchant account, API integration, webhook handling, subscription billing.</x:t>
  </x:si>
  <x:si>
    <x:t xml:space="preserve">Integrate Epoch (cascade fallback)</x:t>
  </x:si>
  <x:si>
    <x:t xml:space="preserve">Set up Epoch as secondary for transactions CCBill declines.</x:t>
  </x:si>
  <x:si>
    <x:t xml:space="preserve">Build payment cascading logic</x:t>
  </x:si>
  <x:si>
    <x:t xml:space="preserve">Route failed CCBill transactions automatically to Epoch before returning decline.</x:t>
  </x:si>
  <x:si>
    <x:t xml:space="preserve">Implement recurring subscription billing</x:t>
  </x:si>
  <x:si>
    <x:t xml:space="preserve">Create the actual subscription/payment flow through CCBill/Epoch.</x:t>
  </x:si>
  <x:si>
    <x:t xml:space="preserve">Implementation not confirmed.</x:t>
  </x:si>
  <x:si>
    <x:t xml:space="preserve">Build renewal / cancel logic</x:t>
  </x:si>
  <x:si>
    <x:t xml:space="preserve">Recurring billing state changes, grace periods, cancellations.</x:t>
  </x:si>
  <x:si>
    <x:t xml:space="preserve">Needed for subscription lifecycle.</x:t>
  </x:si>
  <x:si>
    <x:t xml:space="preserve">Tie access gating to subscription status</x:t>
  </x:si>
  <x:si>
    <x:t xml:space="preserve">Grant/revoke content access based on active payment state and tier.</x:t>
  </x:si>
  <x:si>
    <x:t xml:space="preserve">Critical premium access control.</x:t>
  </x:si>
  <x:si>
    <x:t xml:space="preserve">Define creator payouts flow</x:t>
  </x:si>
  <x:si>
    <x:t xml:space="preserve">Payout cadence (weekly/biweekly), ledger logic, minimums, admin handling.</x:t>
  </x:si>
  <x:si>
    <x:t xml:space="preserve">Needed once monetization is live.</x:t>
  </x:si>
  <x:si>
    <x:t xml:space="preserve">Define Veso wallet / display logic</x:t>
  </x:si>
  <x:si>
    <x:t xml:space="preserve">Where Veso (1 = $1 USD) appears: balance display, purchase flow, spend flow.</x:t>
  </x:si>
  <x:si>
    <x:t xml:space="preserve">Define platform commission model</x:t>
  </x:si>
  <x:si>
    <x:t xml:space="preserve">Fee structure: platform take rate, creator share, member economics. Founding Creator exception rate must be defined.</x:t>
  </x:si>
  <x:si>
    <x:t xml:space="preserve">Implement chargeback &amp; dispute workflow</x:t>
  </x:si>
  <x:si>
    <x:t xml:space="preserve">Track chargebacks from CCBill/Epoch, alert admin, manage dispute responses.</x:t>
  </x:si>
  <x:si>
    <x:t xml:space="preserve">Critical for high-risk adult processing.</x:t>
  </x:si>
  <x:si>
    <x:t xml:space="preserve">Plan crypto payment integration</x:t>
  </x:si>
  <x:si>
    <x:t xml:space="preserve">Research USDT/BTC path. Evaluate self-hosted vs third-party (NowPayments, PayRam).</x:t>
  </x:si>
  <x:si>
    <x:t xml:space="preserve">Deferred; planned as future payment rail.</x:t>
  </x:si>
  <x:si>
    <x:t xml:space="preserve">🛡️  PHASE 9 — Admin Dashboard &amp; Moderation</x:t>
  </x:si>
  <x:si>
    <x:t xml:space="preserve">Protect /admin route</x:t>
  </x:si>
  <x:si>
    <x:t xml:space="preserve">Restrict to admin-role only. Login-gated, founder-only access. Separate from creator dashboard.</x:t>
  </x:si>
  <x:si>
    <x:t xml:space="preserve">Admin route planned; not confirmed built.</x:t>
  </x:si>
  <x:si>
    <x:t xml:space="preserve">Build admin overview / operations page</x:t>
  </x:si>
  <x:si>
    <x:t xml:space="preserve">Operational snapshot: total users, new signups today, active creators, revenue (gross/net), payout queue, content mod queue count, active flags.</x:t>
  </x:si>
  <x:si>
    <x:t xml:space="preserve">First page you see when logging into admin. Keeps you informed at a glance.</x:t>
  </x:si>
  <x:si>
    <x:t xml:space="preserve">Build users &amp; creators admin table</x:t>
  </x:si>
  <x:si>
    <x:t xml:space="preserve">Searchable table of all accounts. Filter by role (member/creator/admin). View status, join date, spend, earnings. Actions: warn, suspend, ban, verify.</x:t>
  </x:si>
  <x:si>
    <x:t xml:space="preserve">Core operational tool. Needed for day-1 operations.</x:t>
  </x:si>
  <x:si>
    <x:t xml:space="preserve">Build creator verification &amp; onboarding queue</x:t>
  </x:si>
  <x:si>
    <x:t xml:space="preserve">Review incoming creator applications. View submitted ID documents. Approve or reject. Log decision with reason. Trigger creator onboarding email.</x:t>
  </x:si>
  <x:si>
    <x:t xml:space="preserve">Required before any creator goes live. Tied to 2257 compliance.</x:t>
  </x:si>
  <x:si>
    <x:t xml:space="preserve">Build content moderation queue</x:t>
  </x:si>
  <x:si>
    <x:t xml:space="preserve">Queue of all flagged content sorted by severity. Actions: approve, remove, warn creator, escalate. Show content type, creator, flag reason, reporter.</x:t>
  </x:si>
  <x:si>
    <x:t xml:space="preserve">Especially important for NSFW operations. Will be high-volume once platform grows.</x:t>
  </x:si>
  <x:si>
    <x:t xml:space="preserve">Build reports handling workflow</x:t>
  </x:si>
  <x:si>
    <x:t xml:space="preserve">Route user/content reports into admin triage with severity levels (High / Medium / Low). Show open report count, type, and age.</x:t>
  </x:si>
  <x:si>
    <x:t xml:space="preserve">Needed for safety and operations.</x:t>
  </x:si>
  <x:si>
    <x:t xml:space="preserve">Build payments &amp; payouts admin view</x:t>
  </x:si>
  <x:si>
    <x:t xml:space="preserve">View all transactions, subscription events, payout queue. Manually trigger or block payouts. View CCBill/Epoch transaction IDs. Filter by date, creator, status.</x:t>
  </x:si>
  <x:si>
    <x:t xml:space="preserve">Needed for business operations and dispute resolution.</x:t>
  </x:si>
  <x:si>
    <x:t xml:space="preserve">Build chargeback alert dashboard</x:t>
  </x:si>
  <x:si>
    <x:t xml:space="preserve">Real-time view of incoming chargebacks from CCBill/Epoch webhooks. Show chargeback rate %, alert when approaching 1% threshold. Log dispute responses.</x:t>
  </x:si>
  <x:si>
    <x:t xml:space="preserve">Adult platforms live and die by chargeback rate. Exceeding 1% risks losing your merchant account.</x:t>
  </x:si>
  <x:si>
    <x:t xml:space="preserve">Build Veso / wallet admin view</x:t>
  </x:si>
  <x:si>
    <x:t xml:space="preserve">View all Veso balances across users. See top-up history, spend history, manual adjustments. Ability to issue Veso credits (e.g., for promotions or support resolutions).</x:t>
  </x:si>
  <x:si>
    <x:t xml:space="preserve">Needed once Veso is live. Also useful for resolving billing disputes.</x:t>
  </x:si>
  <x:si>
    <x:t xml:space="preserve">Build Founding Badge admin management</x:t>
  </x:si>
  <x:si>
    <x:t xml:space="preserve">View list of Founding Creators and Founding Members. Track how many slots remain. Assign or revoke badge manually if needed. Show badge count against cap.</x:t>
  </x:si>
  <x:si>
    <x:t xml:space="preserve">Required to manage the founder badge program. Badge count cap enforced here.</x:t>
  </x:si>
  <x:si>
    <x:t xml:space="preserve">Build admin platform settings panel</x:t>
  </x:si>
  <x:si>
    <x:t xml:space="preserve">Configure: platform commission rate, Founding Creator commission rate, NSFW content flags, feature flags (enable/disable features), payout minimums, maintenance mode.</x:t>
  </x:si>
  <x:si>
    <x:t xml:space="preserve">Gives you control over live platform behavior without code deploys.</x:t>
  </x:si>
  <x:si>
    <x:t xml:space="preserve">Implement 2257 compliance records admin</x:t>
  </x:si>
  <x:si>
    <x:t xml:space="preserve">View and manage age verification records submitted by creators. Link each creator to their ID verification doc. Must be accessible on demand for compliance audits.</x:t>
  </x:si>
  <x:si>
    <x:t xml:space="preserve">Federal requirement. Must be in place before any adult content goes live.</x:t>
  </x:si>
  <x:si>
    <x:t xml:space="preserve">Implement audit log</x:t>
  </x:si>
  <x:si>
    <x:t xml:space="preserve">Track all admin actions with timestamp, admin user, action type, and affected entity. Immutable log — no deleting entries.</x:t>
  </x:si>
  <x:si>
    <x:t xml:space="preserve">Useful for security, accountability, and legal protection.</x:t>
  </x:si>
  <x:si>
    <x:t xml:space="preserve">📊  PHASE 10 — Analytics, Support &amp; Notifications</x:t>
  </x:si>
  <x:si>
    <x:t xml:space="preserve">Define analytics event tracking</x:t>
  </x:si>
  <x:si>
    <x:t xml:space="preserve">Track signups, subscriptions, content views, conversions, churn signals.</x:t>
  </x:si>
  <x:si>
    <x:t xml:space="preserve">Build launch KPI dashboard</x:t>
  </x:si>
  <x:si>
    <x:t xml:space="preserve">Lightweight internal reporting view for admin.</x:t>
  </x:si>
  <x:si>
    <x:t xml:space="preserve">Needed to monitor launch health.</x:t>
  </x:si>
  <x:si>
    <x:t xml:space="preserve">Set up support / contact workflow</x:t>
  </x:si>
  <x:si>
    <x:t xml:space="preserve">Route issues to a manageable inbox (email-based initially).</x:t>
  </x:si>
  <x:si>
    <x:t xml:space="preserve">Needed for operational readiness.</x:t>
  </x:si>
  <x:si>
    <x:t xml:space="preserve">Create FAQ / help center content</x:t>
  </x:si>
  <x:si>
    <x:t xml:space="preserve">Common setup, billing, and policy answers.</x:t>
  </x:si>
  <x:si>
    <x:t xml:space="preserve">Useful before public launch.</x:t>
  </x:si>
  <x:si>
    <x:t xml:space="preserve">Implement notifications / email system</x:t>
  </x:si>
  <x:si>
    <x:t xml:space="preserve">Transactional emails (welcome, billing, reset) and platform notices via SES or Resend/Postmark.</x:t>
  </x:si>
  <x:si>
    <x:t xml:space="preserve">🚀  PHASE 11 — Creator Ops &amp; Go-To-Market</x:t>
  </x:si>
  <x:si>
    <x:t xml:space="preserve">Recruit initial creators</x:t>
  </x:si>
  <x:si>
    <x:t xml:space="preserve">Secure first launch or beta creators.</x:t>
  </x:si>
  <x:si>
    <x:t xml:space="preserve">Needed for a credible launch marketplace.</x:t>
  </x:si>
  <x:si>
    <x:t xml:space="preserve">Create creator onboarding docs</x:t>
  </x:si>
  <x:si>
    <x:t xml:space="preserve">How-to for setup, posting, pricing, tier themes, and policy.</x:t>
  </x:si>
  <x:si>
    <x:t xml:space="preserve">Helpful for beta and early launch.</x:t>
  </x:si>
  <x:si>
    <x:t xml:space="preserve">Define beta member invite list</x:t>
  </x:si>
  <x:si>
    <x:t xml:space="preserve">Choose initial users to test flows.</x:t>
  </x:si>
  <x:si>
    <x:t xml:space="preserve">Needed for private beta.</x:t>
  </x:si>
  <x:si>
    <x:t xml:space="preserve">Build waitlist / lead capture</x:t>
  </x:si>
  <x:si>
    <x:t xml:space="preserve">Collect early interest before public release.</x:t>
  </x:si>
  <x:si>
    <x:t xml:space="preserve">Useful for launch momentum.</x:t>
  </x:si>
  <x:si>
    <x:t xml:space="preserve">Create social launch content plan</x:t>
  </x:si>
  <x:si>
    <x:t xml:space="preserve">Posts, teasers, launch announcements.</x:t>
  </x:si>
  <x:si>
    <x:t xml:space="preserve">Needed before public launch.</x:t>
  </x:si>
  <x:si>
    <x:t xml:space="preserve">Define referral / affiliate plan</x:t>
  </x:si>
  <x:si>
    <x:t xml:space="preserve">Lightweight growth loop for early users.</x:t>
  </x:si>
  <x:si>
    <x:t xml:space="preserve">Can be simple but useful.</x:t>
  </x:si>
  <x:si>
    <x:t xml:space="preserve">Build Pumdoki Discord Server</x:t>
  </x:si>
  <x:si>
    <x:t xml:space="preserve">Marketing tool to build audience, recruit our first creators, and create a community. </x:t>
  </x:si>
  <x:si>
    <x:t xml:space="preserve">🧪  PHASE 12 — QA, Beta &amp; Launch</x:t>
  </x:si>
  <x:si>
    <x:t xml:space="preserve">Build internal QA checklist</x:t>
  </x:si>
  <x:si>
    <x:t xml:space="preserve">Turn roadmap into a structured test list.</x:t>
  </x:si>
  <x:si>
    <x:t xml:space="preserve">Checklist organization underway.</x:t>
  </x:si>
  <x:si>
    <x:t xml:space="preserve">Plan private beta</x:t>
  </x:si>
  <x:si>
    <x:t xml:space="preserve">Define who tests, what gets tested, how feedback is captured.</x:t>
  </x:si>
  <x:si>
    <x:t xml:space="preserve">Recommended before public launch.</x:t>
  </x:si>
  <x:si>
    <x:t xml:space="preserve">Run end-to-end flow testing</x:t>
  </x:si>
  <x:si>
    <x:t xml:space="preserve">Test signup → content → subscription → gating → payout → admin.</x:t>
  </x:si>
  <x:si>
    <x:t xml:space="preserve">Needed after core build is ready.</x:t>
  </x:si>
  <x:si>
    <x:t xml:space="preserve">Run security review</x:t>
  </x:si>
  <x:si>
    <x:t xml:space="preserve">Auth, media access, role checks, secrets, signed URLs, abuse risks.</x:t>
  </x:si>
  <x:si>
    <x:t xml:space="preserve">Run payment flow testing</x:t>
  </x:si>
  <x:si>
    <x:t xml:space="preserve">CCBill → Epoch cascade, subscription lifecycle, renewal, cancel, chargebacks.</x:t>
  </x:si>
  <x:si>
    <x:t xml:space="preserve">Critical for revenue reliability.</x:t>
  </x:si>
  <x:si>
    <x:t xml:space="preserve">Prepare soft-launch go/no-go checklist</x:t>
  </x:si>
  <x:si>
    <x:t xml:space="preserve">Define criteria for a limited launch.</x:t>
  </x:si>
  <x:si>
    <x:t xml:space="preserve">Useful before broad release.</x:t>
  </x:si>
  <x:si>
    <x:t xml:space="preserve">Prepare public launch checklist</x:t>
  </x:si>
  <x:si>
    <x:t xml:space="preserve">Confirm readiness: product, legal, payments, support, marketing.</x:t>
  </x:si>
  <x:si>
    <x:t xml:space="preserve">Final pre-launch checkpoint.</x:t>
  </x:si>
  <x:si>
    <x:t xml:space="preserve">Define post-launch bug triage process</x:t>
  </x:si>
  <x:si>
    <x:t xml:space="preserve">Severity rules and response rhythm for launch issues.</x:t>
  </x:si>
  <x:si>
    <x:t xml:space="preserve">Needed once public users arrive.</x:t>
  </x:si>
  <x:si>
    <x:t xml:space="preserve">Feature</x:t>
  </x:si>
  <x:si>
    <x:t xml:space="preserve">Category</x:t>
  </x:si>
  <x:si>
    <x:t xml:space="preserve">Why Later</x:t>
  </x:si>
  <x:si>
    <x:t xml:space="preserve">Priority</x:t>
  </x:si>
  <x:si>
    <x:t xml:space="preserve">Note</x:t>
  </x:si>
  <x:si>
    <x:t xml:space="preserve">Live streaming</x:t>
  </x:si>
  <x:si>
    <x:t xml:space="preserve">Engagement</x:t>
  </x:si>
  <x:si>
    <x:t xml:space="preserve">Delay until MVP stability and core monetization proven.</x:t>
  </x:si>
  <x:si>
    <x:t xml:space="preserve">Medium</x:t>
  </x:si>
  <x:si>
    <x:t xml:space="preserve">Explicitly deferred from MVP.</x:t>
  </x:si>
  <x:si>
    <x:t xml:space="preserve">Advanced chat / real-time messaging</x:t>
  </x:si>
  <x:si>
    <x:t xml:space="preserve">Tipping</x:t>
  </x:si>
  <x:si>
    <x:t xml:space="preserve">Monetization</x:t>
  </x:si>
  <x:si>
    <x:t xml:space="preserve">Pay-per-view content</x:t>
  </x:si>
  <x:si>
    <x:t xml:space="preserve">Advanced analytics</x:t>
  </x:si>
  <x:si>
    <x:t xml:space="preserve">Analytics</x:t>
  </x:si>
  <x:si>
    <x:t xml:space="preserve">Add richer creator/member analytics after launch.</x:t>
  </x:si>
  <x:si>
    <x:t xml:space="preserve">Recommendation engine</x:t>
  </x:si>
  <x:si>
    <x:t xml:space="preserve">Discovery</x:t>
  </x:si>
  <x:si>
    <x:t xml:space="preserve">Delay algorithmic rec until enough data exists.</x:t>
  </x:si>
  <x:si>
    <x:t xml:space="preserve">Low</x:t>
  </x:si>
  <x:si>
    <x:t xml:space="preserve">Multiple themes (beyond Sakura &amp; Dark Knight)</x:t>
  </x:si>
  <x:si>
    <x:t xml:space="preserve">Design</x:t>
  </x:si>
  <x:si>
    <x:t xml:space="preserve">Ship two strong default themes first, then add premium ones.</x:t>
  </x:si>
  <x:si>
    <x:t xml:space="preserve">Additional premium themes deferred post-MVP.</x:t>
  </x:si>
  <x:si>
    <x:t xml:space="preserve">Heavy gamification (Oasis / Drimys)</x:t>
  </x:si>
  <x:si>
    <x:t xml:space="preserve">Crypto payments (USDT/BTC)</x:t>
  </x:si>
  <x:si>
    <x:t xml:space="preserve">Planned but deferred until fiat payments proven.</x:t>
  </x:si>
  <x:si>
    <x:t xml:space="preserve">Research: self-hosted vs NowPayments/PayRam.</x:t>
  </x:si>
  <x:si>
    <x:t xml:space="preserve">Pumdoki Premium (Nitro-style)</x:t>
  </x:si>
  <x:si>
    <x:t xml:space="preserve">Banners, medals, badges for any paying user.</x:t>
  </x:si>
  <x:si>
    <x:t xml:space="preserve">Similar to Discord Nitro.</x:t>
  </x:si>
  <x:si>
    <x:t xml:space="preserve">Creator verification badges</x:t>
  </x:si>
  <x:si>
    <x:t xml:space="preserve">Trust &amp; Safety</x:t>
  </x:si>
  <x:si>
    <x:t xml:space="preserve">Verified creator program with identity checks.</x:t>
  </x:si>
  <x:si>
    <x:t xml:space="preserve">Adds trust; defer until creator base grows.</x:t>
  </x:si>
  <x:si>
    <x:t xml:space="preserve">Mobile app (iOS / Android)</x:t>
  </x:si>
  <x:si>
    <x:t xml:space="preserve">Platform</x:t>
  </x:si>
  <x:si>
    <x:t xml:space="preserve">Native mobile after web platform is stable.</x:t>
  </x:si>
  <x:si>
    <x:t xml:space="preserve">High</x:t>
  </x:si>
  <x:si>
    <x:t xml:space="preserve">Web-first; mobile later.</x:t>
  </x:si>
  <x:si>
    <x:t xml:space="preserve">'Your Activity' page</x:t>
  </x:si>
  <x:si>
    <x:t xml:space="preserve">UX</x:t>
  </x:si>
  <x:si>
    <x:t xml:space="preserve">Activity history for members — posts liked, content purchased, Veso spent.</x:t>
  </x:si>
  <x:si>
    <x:t xml:space="preserve">Nice-to-have. Build post-launch if time is tight during MVP push.</x:t>
  </x:si>
  <x:si>
    <x:t xml:space="preserve">TikTok paid creator promotions</x:t>
  </x:si>
  <x:si>
    <x:t xml:space="preserve">Marketing</x:t>
  </x:si>
  <x:si>
    <x:t xml:space="preserve">Requires budget, live product, and something worth promoting. No point driving traffic before launch.</x:t>
  </x:si>
  <x:si>
    <x:t xml:space="preserve">Standard influencer marketing strategy. Frame campaigns as 'creator monetization platform' — avoid direct NSFW references to stay within TikTok ad policies. Revisit 1–2 months post-launch once conversion data exists.</x:t>
  </x:si>
  <x:si>
    <x:t xml:space="preserve">Kick platform integration / clipping strategy</x:t>
  </x:si>
  <x:si>
    <x:t xml:space="preserve">Partnerships</x:t>
  </x:si>
  <x:si>
    <x:t xml:space="preserve">Long-term scaling play requiring funding, an established creator base, and platform stability. Not a bootstrapped v1 move.</x:t>
  </x:si>
  <x:si>
    <x:t xml:space="preserve">Kick's permissive content policy makes it a natural partner platform long-term. Could drive creator and member acquisition at scale. Requires meaningful budget and an established Pumdoki audience first. Far-future item.</x:t>
  </x:si>
  <x:si>
    <x:t xml:space="preserve">Live streaming on Creator Dashboard</x:t>
  </x:si>
  <x:si>
    <x:t xml:space="preserve">"Re-enable the 'Live Streaming' feature by setting the conditional boolean to true, restoring both the sidebar navigation link and the main view component."</x:t>
  </x:si>
  <x:si>
    <x:t xml:space="preserve">Reactivate the livestream feature on the creator Dashboard after it's fully implemented on the website</x:t>
  </x:si>
  <x:si>
    <x:t xml:space="preserve">📝  Notes &amp; Assumptions</x:t>
  </x:si>
  <x:si>
    <x:t xml:space="preserve">Rule</x:t>
  </x:si>
  <x:si>
    <x:t xml:space="preserve">Detail</x:t>
  </x:si>
  <x:si>
    <x:t xml:space="preserve">1.0</x:t>
  </x:si>
  <x:si>
    <x:t xml:space="preserve">2.0</x:t>
  </x:si>
  <x:si>
    <x:t xml:space="preserve">✅ Done = clearly locked in prior planning or confirmed in recent discussions.</x:t>
  </x:si>
  <x:si>
    <x:t xml:space="preserve">3.0</x:t>
  </x:si>
  <x:si>
    <x:t xml:space="preserve">🔄 In Progress = explicitly underway or being organized/planned.</x:t>
  </x:si>
  <x:si>
    <x:t xml:space="preserve">4.0</x:t>
  </x:si>
  <x:si>
    <x:t xml:space="preserve">📋 Not Started = required for launch but not confirmed as underway.</x:t>
  </x:si>
  <x:si>
    <x:t xml:space="preserve">5.0</x:t>
  </x:si>
  <x:si>
    <x:t xml:space="preserve">Master Tracker focuses on MVP/launch needs; the Backlog sheet captures post-MVP features.</x:t>
  </x:si>
  <x:si>
    <x:t xml:space="preserve">6.0</x:t>
  </x:si>
  <x:si>
    <x:t xml:space="preserve">Upload to Google Sheets for online collaboration — add owners and dates there.</x:t>
  </x:si>
  <x:si>
    <x:t xml:space="preserve">7.0</x:t>
  </x:si>
  <x:si>
    <x:t xml:space="preserve">Suggested next use: filter by Not Started to decide immediate work.</x:t>
  </x:si>
  <x:si>
    <x:t xml:space="preserve">8.0</x:t>
  </x:si>
  <x:si>
    <x:t xml:space="preserve">Legal/compliance expanded with 8 additional tasks from LoyalFans March 2026 gap analysis.</x:t>
  </x:si>
  <x:si>
    <x:t xml:space="preserve">9.0</x:t>
  </x:si>
  <x:si>
    <x:t xml:space="preserve">Admin dashboard (Phase 9) expanded — 13 subtasks covering all operator tools needed for an adult content platform.</x:t>
  </x:si>
  <x:si>
    <x:t xml:space="preserve">10.0</x:t>
  </x:si>
  <x:si>
    <x:t xml:space="preserve">Phase 6 expanded — added: Veso wallet, NSFW toggle, Settings, Help/Support, Activity, modal/drawer/chat fixes, creator dashboard.</x:t>
  </x:si>
  <x:si>
    <x:t xml:space="preserve">11.0</x:t>
  </x:si>
  <x:si>
    <x:t xml:space="preserve">Dark Knight theme added to Phase 3 — default theme #2, not premium. Must ship before or at launch.</x:t>
  </x:si>
  <x:si>
    <x:t xml:space="preserve">12.0</x:t>
  </x:si>
  <x:si>
    <x:t xml:space="preserve">Founding Creator / Member badge program added to Phase 3 — first 500 creators get reduced commission + permanent badge.</x:t>
  </x:si>
  <x:si>
    <x:t xml:space="preserve">🌸 Known Context Captured</x:t>
  </x:si>
  <x:si>
    <x:t xml:space="preserve">•</x:t>
  </x:si>
  <x:si>
    <x:t xml:space="preserve">Brand: pink/sakura aesthetic. Pearl/off-white on soft sakura pink. Soft, dreamy, intimate, polished, premium.</x:t>
  </x:si>
  <x:si>
    <x:t xml:space="preserve">Logo: minimal heart + sakura petal + subtle heartbeat icon + rounded sans-serif wordmark.</x:t>
  </x:si>
  <x:si>
    <x:t xml:space="preserve">Motto: 'A space for creators, members, and real interaction.'</x:t>
  </x:si>
  <x:si>
    <x:t xml:space="preserve">Tiers: Standard Support (Doki 1, 2, 3), Premium Support (Super Doki 1, 2), Ultimate (Doki Legend).</x:t>
  </x:si>
  <x:si>
    <x:t xml:space="preserve">Creator themes: Floral (Petal→Bloom→Sakura→Golden Sakura→Eternal Sakura), Ember (Ember→Ignite→Flare→Inferno→Eternal Flame).</x:t>
  </x:si>
  <x:si>
    <x:t xml:space="preserve">Currency: Veso (1 Veso = 1 USD). Wallet page and admin Veso view both required.</x:t>
  </x:si>
  <x:si>
    <x:t xml:space="preserve">Infrastructure: AWS for app layer + RDS PostgreSQL for database.</x:t>
  </x:si>
  <x:si>
    <x:t xml:space="preserve">Media storage/CDN: Cloudflare R2 (NSFW-safe, free egress, no restrictive AUP on legal adult content).</x:t>
  </x:si>
  <x:si>
    <x:t xml:space="preserve">Primary processor: CCBill (industry standard for adult, recurring billing, multi-currency).</x:t>
  </x:si>
  <x:si>
    <x:t xml:space="preserve">Cascade fallback: Epoch (catches transactions CCBill declines).</x:t>
  </x:si>
  <x:si>
    <x:t xml:space="preserve">Future payment rail: Crypto (USDT/BTC) — planned post-MVP.</x:t>
  </x:si>
  <x:si>
    <x:t xml:space="preserve">Pumdoki Premium: banners, medals, badges — like Discord Nitro, open to any paying user. Post-MVP.</x:t>
  </x:si>
  <x:si>
    <x:t xml:space="preserve">NSFW content allowed from day 1. +18 toggle required in settings and feed.</x:t>
  </x:si>
  <x:si>
    <x:t xml:space="preserve">Admin dashboard: protected page inside Pumdoki, login-gated, founder-only. 13 subtasks defined.</x:t>
  </x:si>
  <x:si>
    <x:t xml:space="preserve">Dark Knight theme: second default theme. Charcoal/near-black + pink accent. CSS variable swap.</x:t>
  </x:si>
  <x:si>
    <x:t xml:space="preserve">Founding Creator/Member badge: first 500 creators = reduced fee + permanent badge. First 500 members = badge + discount.</x:t>
  </x:si>
  <x:si>
    <x:t xml:space="preserve">Git branches: Home, Landing, Store, Connect, Chat.</x:t>
  </x:si>
  <x:si>
    <x:t xml:space="preserve">Build style: visual/iterative — needs to see UI to know what to change.</x:t>
  </x:si>
  <x:si>
    <x:t xml:space="preserve">Privacy concern: Maryland biz records may expose identity linked to NSFW platform.</x:t>
  </x:si>
  <x:si>
    <x:t xml:space="preserve">Feed/story: heart story rail + For You/Following tabs confirmed in design.</x:t>
  </x:si>
  <x:si>
    <x:t xml:space="preserve">Homepage messaging avoids 'Softer'; should feel for everyone, not creator-first.</x:t>
  </x:si>
  <x:si>
    <x:t xml:space="preserve">Company structure: LLC recommended (US adult platforms standard). Epal, Fansly = LLC. OnlyFans = UK Ltd.</x:t>
  </x:si>
  <x:si>
    <x:t xml:space="preserve">Legal must be drafted BEFORE first creator is onboarded — not just before public launch.</x:t>
  </x:si>
  <x:si>
    <x:t xml:space="preserve">💸  Pumdoki — Expense &amp; Cost Tracker</x:t>
  </x:si>
  <x:si>
    <x:t xml:space="preserve">Solo founder, no funding — track every dollar.</x:t>
  </x:si>
  <x:si>
    <x:t xml:space="preserve">Item</x:t>
  </x:si>
  <x:si>
    <x:t xml:space="preserve">Type</x:t>
  </x:si>
  <x:si>
    <x:t xml:space="preserve">Estimated Cost</x:t>
  </x:si>
  <x:si>
    <x:t xml:space="preserve">Actual Cost</x:t>
  </x:si>
  <x:si>
    <x:t xml:space="preserve">Frequency</x:t>
  </x:si>
  <x:si>
    <x:t xml:space="preserve">🏦  ONE-TIME / SETUP COSTS</x:t>
  </x:si>
  <x:si>
    <x:t xml:space="preserve">CCBill Visa Registration Fee</x:t>
  </x:si>
  <x:si>
    <x:t xml:space="preserve">Payments</x:t>
  </x:si>
  <x:si>
    <x:t xml:space="preserve">One-time</x:t>
  </x:si>
  <x:si>
    <x:t xml:space="preserve">Once</x:t>
  </x:si>
  <x:si>
    <x:t xml:space="preserve">📋 Not Paid</x:t>
  </x:si>
  <x:si>
    <x:t xml:space="preserve">Required for US merchants to process Visa.</x:t>
  </x:si>
  <x:si>
    <x:t xml:space="preserve">CCBill Mastercard Registration Fee</x:t>
  </x:si>
  <x:si>
    <x:t xml:space="preserve">Required for US merchants to process MC.</x:t>
  </x:si>
  <x:si>
    <x:t xml:space="preserve">Epoch Setup Fee</x:t>
  </x:si>
  <x:si>
    <x:t xml:space="preserve">Typically free — Epoch acts as merchant of record.</x:t>
  </x:si>
  <x:si>
    <x:t xml:space="preserve">USPTO Trademark — 'Pumdoki'</x:t>
  </x:si>
  <x:si>
    <x:t xml:space="preserve">Legal</x:t>
  </x:si>
  <x:si>
    <x:t xml:space="preserve">Per class (IC 009, 035, 042). May need 2–3 classes.</x:t>
  </x:si>
  <x:si>
    <x:t xml:space="preserve">USPTO Trademark — 'Veso'</x:t>
  </x:si>
  <x:si>
    <x:t xml:space="preserve">Optional; consider after launch.</x:t>
  </x:si>
  <x:si>
    <x:t xml:space="preserve">ToS Lawyer</x:t>
  </x:si>
  <x:si>
    <x:t xml:space="preserve">ToS, Privacy Policy, etc. </x:t>
  </x:si>
  <x:si>
    <x:t xml:space="preserve">Registered Agent (annual)</x:t>
  </x:si>
  <x:si>
    <x:t xml:space="preserve">Annual</x:t>
  </x:si>
  <x:si>
    <x:t xml:space="preserve">Yearly</x:t>
  </x:si>
  <x:si>
    <x:t xml:space="preserve">Privacy shield for MD biz records. ~$100–150/yr.</x:t>
  </x:si>
  <x:si>
    <x:t xml:space="preserve">Domain Purchase (.com)</x:t>
  </x:si>
  <x:si>
    <x:t xml:space="preserve">Infrastructure</x:t>
  </x:si>
  <x:si>
    <x:t xml:space="preserve">Primary domain.</x:t>
  </x:si>
  <x:si>
    <x:t xml:space="preserve">Domain Variants (.net, .io)</x:t>
  </x:si>
  <x:si>
    <x:t xml:space="preserve">Optional — protect brand.</x:t>
  </x:si>
  <x:si>
    <x:t xml:space="preserve">📆  MONTHLY / RECURRING COSTS</x:t>
  </x:si>
  <x:si>
    <x:t xml:space="preserve">AWS EC2 (t3.small → t3.medium)</x:t>
  </x:si>
  <x:si>
    <x:t xml:space="preserve">Monthly</x:t>
  </x:si>
  <x:si>
    <x:t xml:space="preserve">Start small ($15–18), scale to medium ($30–35).</x:t>
  </x:si>
  <x:si>
    <x:t xml:space="preserve">AWS RDS PostgreSQL (db.t3.micro)</x:t>
  </x:si>
  <x:si>
    <x:t xml:space="preserve">Free tier covers 12 months if new AWS account.</x:t>
  </x:si>
  <x:si>
    <x:t xml:space="preserve">Cloudflare R2 Storage</x:t>
  </x:si>
  <x:si>
    <x:t xml:space="preserve">10GB free. $0.015/GB/mo after. Egress is free.</x:t>
  </x:si>
  <x:si>
    <x:t xml:space="preserve">Cloudflare R2 Operations</x:t>
  </x:si>
  <x:si>
    <x:t xml:space="preserve">10M Class B reads/mo free. Minimal at launch.</x:t>
  </x:si>
  <x:si>
    <x:t xml:space="preserve">SSL/TLS Certificate</x:t>
  </x:si>
  <x:si>
    <x:t xml:space="preserve">Free via Cloudflare or Let's Encrypt.</x:t>
  </x:si>
  <x:si>
    <x:t xml:space="preserve">Email Service (SES / Resend)</x:t>
  </x:si>
  <x:si>
    <x:t xml:space="preserve">SES: ~$0.10/1K emails. Free tier covers early use.</x:t>
  </x:si>
  <x:si>
    <x:t xml:space="preserve">Error Tracking (Sentry free tier)</x:t>
  </x:si>
  <x:si>
    <x:t xml:space="preserve">Free for 5K events/mo. Enough for launch.</x:t>
  </x:si>
  <x:si>
    <x:t xml:space="preserve">📊  PER-TRANSACTION COSTS (Variable)</x:t>
  </x:si>
  <x:si>
    <x:t xml:space="preserve">CCBill Transaction Fee</x:t>
  </x:si>
  <x:si>
    <x:t xml:space="preserve">Per-transaction</x:t>
  </x:si>
  <x:si>
    <x:t xml:space="preserve">Per txn</x:t>
  </x:si>
  <x:si>
    <x:t xml:space="preserve">Variable</x:t>
  </x:si>
  <x:si>
    <x:t xml:space="preserve">~10–14% per transaction. High-risk adult rate.</x:t>
  </x:si>
  <x:si>
    <x:t xml:space="preserve">Epoch Transaction Fee</x:t>
  </x:si>
  <x:si>
    <x:t xml:space="preserve">~10–15% per transaction on cascaded payments.</x:t>
  </x:si>
  <x:si>
    <x:t xml:space="preserve">CCBill Chargeback Fee</x:t>
  </x:si>
  <x:si>
    <x:t xml:space="preserve">Per event</x:t>
  </x:si>
  <x:si>
    <x:t xml:space="preserve">Varies. Budget ~$20–25 per chargeback.</x:t>
  </x:si>
  <x:si>
    <x:t xml:space="preserve">🔮  OPTIONAL / FUTURE COSTS</x:t>
  </x:si>
  <x:si>
    <x:t xml:space="preserve">Crypto Payment Gateway</x:t>
  </x:si>
  <x:si>
    <x:t xml:space="preserve">Deferred</x:t>
  </x:si>
  <x:si>
    <x:t xml:space="preserve">Post-MVP. NowPayments ~1%/txn. Self-hosted = free.</x:t>
  </x:si>
  <x:si>
    <x:t xml:space="preserve">Content Watermarking Service</x:t>
  </x:si>
  <x:si>
    <x:t xml:space="preserve">Tools</x:t>
  </x:si>
  <x:si>
    <x:t xml:space="preserve">Evaluate after launch. May build in-house.</x:t>
  </x:si>
  <x:si>
    <x:t xml:space="preserve">DMCA Takedown Service</x:t>
  </x:si>
  <x:si>
    <x:t xml:space="preserve">Optional. Handle manually at first.</x:t>
  </x:si>
  <x:si>
    <x:t xml:space="preserve">📋  COST SUMMARY</x:t>
  </x:si>
  <x:si>
    <x:t xml:space="preserve">Estimated One-Time Total</x:t>
  </x:si>
  <x:si>
    <x:t xml:space="preserve">Estimated Annual Total</x:t>
  </x:si>
  <x:si>
    <x:t xml:space="preserve">Estimated Monthly Total (launch)</x:t>
  </x:si>
  <x:si>
    <x:t xml:space="preserve">Estimated Year 1 Total</x:t>
  </x:si>
</x:sst>
</file>

<file path=xl/styles.xml><?xml version="1.0" encoding="utf-8"?>
<x:styleSheet xmlns:x="http://schemas.openxmlformats.org/spreadsheetml/2006/main">
  <x:numFmts count="2">
    <x:numFmt numFmtId="164" formatCode="0.0%"/>
    <x:numFmt numFmtId="165" formatCode="\$#,##0"/>
  </x:numFmts>
  <x:fonts count="18">
    <x:font>
      <x:sz val="11"/>
      <x:color theme="1"/>
      <x:name val="Calibri"/>
    </x:font>
    <x:font>
      <x:b/>
      <x:sz val="16"/>
      <x:color rgb="FFFFFFFF"/>
      <x:name val="Arial"/>
    </x:font>
    <x:font/>
    <x:font>
      <x:sz val="11"/>
      <x:color rgb="FF666666"/>
      <x:name val="Arial"/>
    </x:font>
    <x:font>
      <x:b/>
      <x:sz val="12"/>
      <x:color rgb="FF3D1A3E"/>
      <x:name val="Arial"/>
    </x:font>
    <x:font>
      <x:b/>
      <x:sz val="11"/>
      <x:color theme="1"/>
      <x:name val="Arial"/>
    </x:font>
    <x:font>
      <x:sz val="10"/>
      <x:color rgb="FF444444"/>
      <x:name val="Arial"/>
    </x:font>
    <x:font>
      <x:color theme="1"/>
      <x:name val="Calibri"/>
    </x:font>
    <x:font>
      <x:sz val="11"/>
      <x:color rgb="FFD85A8C"/>
      <x:name val="Arial"/>
    </x:font>
    <x:font>
      <x:b/>
      <x:sz val="11"/>
      <x:color rgb="FFFFFFFF"/>
      <x:name val="Arial"/>
    </x:font>
    <x:font>
      <x:b/>
      <x:sz val="12"/>
      <x:color rgb="FFFFFFFF"/>
      <x:name val="Arial"/>
    </x:font>
    <x:font>
      <x:b/>
      <x:sz val="11"/>
      <x:color rgb="FF000000"/>
      <x:name val="Arial"/>
    </x:font>
    <x:font>
      <x:sz val="11"/>
      <x:color theme="1"/>
      <x:name val="Arial"/>
    </x:font>
    <x:font>
      <x:b/>
      <x:color theme="1"/>
      <x:name val="Arial"/>
    </x:font>
    <x:font>
      <x:color theme="1"/>
      <x:name val="Arial"/>
    </x:font>
    <x:font>
      <x:b/>
      <x:color theme="1"/>
      <x:name val="Calibri"/>
    </x:font>
    <x:font>
      <x:color rgb="FF000000"/>
      <x:name val="Calibri"/>
    </x:font>
    <x:font>
      <x:sz val="11"/>
      <x:color rgb="FF000000"/>
      <x:name val="Calibri"/>
    </x:font>
  </x:fonts>
  <x:fills count="9">
    <x:fill>
      <x:patternFill patternType="none"/>
    </x:fill>
    <x:fill>
      <x:patternFill patternType="lightGray"/>
    </x:fill>
    <x:fill>
      <x:patternFill patternType="solid">
        <x:fgColor rgb="FF3D1A3E"/>
      </x:patternFill>
    </x:fill>
    <x:fill>
      <x:patternFill patternType="solid">
        <x:fgColor rgb="FFFAE1EC"/>
      </x:patternFill>
    </x:fill>
    <x:fill>
      <x:patternFill patternType="solid">
        <x:fgColor rgb="FFFFFFFF"/>
      </x:patternFill>
    </x:fill>
    <x:fill>
      <x:patternFill patternType="solid">
        <x:fgColor rgb="FFD85A8C"/>
      </x:patternFill>
    </x:fill>
    <x:fill>
      <x:patternFill patternType="solid">
        <x:fgColor rgb="FFC6EFCE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</x:fills>
  <x:borders count="9">
    <x:border/>
    <x:border/>
    <x:border/>
    <x:border/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  <x:border>
      <x:left style="thin">
        <x:color rgb="FFCCCCCC"/>
      </x:left>
      <x:right style="thin">
        <x:color rgb="FFCCCCCC"/>
      </x:right>
      <x:top style="thin">
        <x:color rgb="FFCCCCCC"/>
      </x:top>
    </x:border>
    <x:border>
      <x:left style="thin">
        <x:color rgb="FFCCCCCC"/>
      </x:left>
      <x:right style="thin">
        <x:color rgb="FFCCCCCC"/>
      </x:right>
      <x:bottom style="thin">
        <x:color rgb="FFCCCCCC"/>
      </x:bottom>
    </x:border>
    <x:border>
      <x:left style="thin">
        <x:color rgb="FFCCCCCC"/>
      </x:left>
      <x:right style="thin">
        <x:color rgb="FFCCCCCC"/>
      </x:right>
    </x:border>
  </x:borders>
  <x:cellStyleXfs count="1">
    <x:xf numFmtId="0" fontId="0" fillId="0" borderId="0" applyFont="1" applyAlignment="1"/>
  </x:cellStyleXfs>
  <x:cellXfs count="82">
    <x:xf numFmtId="0" fontId="0" fillId="0" borderId="0" xfId="0" applyFont="1" applyAlignment="1">
      <x:alignment vertical="bottom" wrapText="0"/>
    </x:xf>
    <x:xf numFmtId="0" fontId="1" fillId="2" borderId="1" xfId="0" applyFont="1" applyFill="1" applyBorder="1" applyAlignment="1">
      <x:alignment horizontal="center" vertical="center" wrapText="0"/>
    </x:xf>
    <x:xf numFmtId="0" fontId="2" fillId="0" borderId="2" xfId="0" applyFont="1" applyBorder="1"/>
    <x:xf numFmtId="0" fontId="2" fillId="0" borderId="3" xfId="0" applyFont="1" applyBorder="1"/>
    <x:xf numFmtId="0" fontId="3" fillId="3" borderId="1" xfId="0" applyFont="1" applyFill="1" applyBorder="1" applyAlignment="1">
      <x:alignment horizontal="center" vertical="center" wrapText="0"/>
    </x:xf>
    <x:xf numFmtId="0" fontId="4" fillId="0" borderId="0" xfId="0" applyFont="1" applyAlignment="1">
      <x:alignment vertical="bottom" wrapText="0"/>
    </x:xf>
    <x:xf numFmtId="0" fontId="5" fillId="3" borderId="4" xfId="0" applyFont="1" applyBorder="1" applyAlignment="1">
      <x:alignment vertical="bottom" wrapText="0"/>
    </x:xf>
    <x:xf numFmtId="0" fontId="5" fillId="4" borderId="4" xfId="0" applyFont="1" applyFill="1" applyBorder="1" applyAlignment="1">
      <x:alignment vertical="bottom" wrapText="0"/>
    </x:xf>
    <x:xf numFmtId="164" fontId="5" fillId="3" borderId="4" xfId="0" applyNumberFormat="1" applyFont="1" applyBorder="1" applyAlignment="1">
      <x:alignment vertical="bottom" wrapText="0"/>
    </x:xf>
    <x:xf numFmtId="0" fontId="5" fillId="0" borderId="0" xfId="0" applyFont="1" applyAlignment="1">
      <x:alignment vertical="bottom" wrapText="0"/>
    </x:xf>
    <x:xf numFmtId="0" fontId="6" fillId="0" borderId="0" xfId="0" applyFont="1" applyAlignment="1">
      <x:alignment vertical="bottom" wrapText="0"/>
    </x:xf>
    <x:xf numFmtId="0" fontId="7" fillId="0" borderId="0" xfId="0" applyFont="1" applyAlignment="1"/>
    <x:xf numFmtId="0" fontId="5" fillId="4" borderId="5" xfId="0" applyFont="1" applyBorder="1" applyAlignment="1">
      <x:alignment horizontal="center" vertical="center" wrapText="0"/>
    </x:xf>
    <x:xf numFmtId="0" fontId="8" fillId="3" borderId="1" xfId="0" applyFont="1" applyBorder="1" applyAlignment="1">
      <x:alignment horizontal="center" vertical="center" wrapText="0"/>
    </x:xf>
    <x:xf numFmtId="0" fontId="9" fillId="5" borderId="5" xfId="0" applyFont="1" applyFill="1" applyBorder="1" applyAlignment="1">
      <x:alignment horizontal="center" vertical="center" wrapText="0"/>
    </x:xf>
    <x:xf numFmtId="0" fontId="10" fillId="2" borderId="1" xfId="0" applyFont="1" applyBorder="1" applyAlignment="1">
      <x:alignment horizontal="left" vertical="center" wrapText="0"/>
    </x:xf>
    <x:xf numFmtId="0" fontId="11" fillId="4" borderId="5" xfId="0" applyFont="1" applyBorder="1" applyAlignment="1">
      <x:alignment horizontal="left" vertical="center" wrapText="1"/>
    </x:xf>
    <x:xf numFmtId="0" fontId="12" fillId="4" borderId="5" xfId="0" applyFont="1" applyBorder="1" applyAlignment="1">
      <x:alignment horizontal="left" vertical="center" wrapText="1"/>
    </x:xf>
    <x:xf numFmtId="0" fontId="5" fillId="6" borderId="5" xfId="0" applyFont="1" applyFill="1" applyBorder="1" applyAlignment="1">
      <x:alignment horizontal="center" vertical="center" wrapText="0"/>
    </x:xf>
    <x:xf numFmtId="0" fontId="6" fillId="4" borderId="5" xfId="0" applyFont="1" applyBorder="1" applyAlignment="1">
      <x:alignment horizontal="left" vertical="center" wrapText="1"/>
    </x:xf>
    <x:xf numFmtId="0" fontId="11" fillId="3" borderId="5" xfId="0" applyFont="1" applyBorder="1" applyAlignment="1">
      <x:alignment horizontal="left" vertical="center" wrapText="1"/>
    </x:xf>
    <x:xf numFmtId="0" fontId="12" fillId="3" borderId="5" xfId="0" applyFont="1" applyBorder="1" applyAlignment="1">
      <x:alignment horizontal="left" vertical="center" wrapText="1"/>
    </x:xf>
    <x:xf numFmtId="0" fontId="6" fillId="3" borderId="5" xfId="0" applyFont="1" applyBorder="1" applyAlignment="1">
      <x:alignment horizontal="left" vertical="center" wrapText="1"/>
    </x:xf>
    <x:xf numFmtId="0" fontId="5" fillId="7" borderId="5" xfId="0" applyFont="1" applyFill="1" applyBorder="1" applyAlignment="1">
      <x:alignment horizontal="center" vertical="center" wrapText="0"/>
    </x:xf>
    <x:xf numFmtId="0" fontId="5" fillId="8" borderId="5" xfId="0" applyFont="1" applyFill="1" applyBorder="1" applyAlignment="1">
      <x:alignment horizontal="center" vertical="center" wrapText="0"/>
    </x:xf>
    <x:xf numFmtId="0" fontId="11" fillId="3" borderId="5" xfId="0" applyFont="1" applyBorder="1" applyAlignment="1">
      <x:alignment horizontal="left" vertical="center" wrapText="1"/>
    </x:xf>
    <x:xf numFmtId="0" fontId="12" fillId="3" borderId="5" xfId="0" applyFont="1" applyBorder="1" applyAlignment="1">
      <x:alignment horizontal="left" vertical="center" wrapText="1"/>
    </x:xf>
    <x:xf numFmtId="0" fontId="6" fillId="3" borderId="5" xfId="0" applyFont="1" applyBorder="1" applyAlignment="1">
      <x:alignment horizontal="left" vertical="center" wrapText="1"/>
    </x:xf>
    <x:xf numFmtId="0" fontId="11" fillId="3" borderId="6" xfId="0" applyFont="1" applyBorder="1" applyAlignment="1">
      <x:alignment horizontal="left" vertical="center" wrapText="1"/>
    </x:xf>
    <x:xf numFmtId="0" fontId="12" fillId="3" borderId="6" xfId="0" applyFont="1" applyBorder="1" applyAlignment="1">
      <x:alignment horizontal="left" vertical="center" wrapText="1"/>
    </x:xf>
    <x:xf numFmtId="0" fontId="5" fillId="8" borderId="6" xfId="0" applyFont="1" applyBorder="1" applyAlignment="1">
      <x:alignment horizontal="center" vertical="center" wrapText="0"/>
    </x:xf>
    <x:xf numFmtId="0" fontId="6" fillId="3" borderId="6" xfId="0" applyFont="1" applyBorder="1" applyAlignment="1">
      <x:alignment horizontal="left" vertical="center" wrapText="1"/>
    </x:xf>
    <x:xf numFmtId="0" fontId="11" fillId="4" borderId="7" xfId="0" applyFont="1" applyBorder="1" applyAlignment="1">
      <x:alignment horizontal="left" vertical="center" wrapText="1"/>
    </x:xf>
    <x:xf numFmtId="0" fontId="12" fillId="4" borderId="7" xfId="0" applyFont="1" applyBorder="1" applyAlignment="1">
      <x:alignment horizontal="left" vertical="center" wrapText="1"/>
    </x:xf>
    <x:xf numFmtId="0" fontId="5" fillId="6" borderId="7" xfId="0" applyFont="1" applyBorder="1" applyAlignment="1">
      <x:alignment horizontal="center" vertical="center" wrapText="0"/>
    </x:xf>
    <x:xf numFmtId="0" fontId="6" fillId="4" borderId="7" xfId="0" applyFont="1" applyBorder="1" applyAlignment="1">
      <x:alignment horizontal="left" vertical="center" wrapText="1"/>
    </x:xf>
    <x:xf numFmtId="0" fontId="11" fillId="4" borderId="6" xfId="0" applyFont="1" applyBorder="1" applyAlignment="1">
      <x:alignment horizontal="left" vertical="center" wrapText="1"/>
    </x:xf>
    <x:xf numFmtId="0" fontId="12" fillId="4" borderId="6" xfId="0" applyFont="1" applyBorder="1" applyAlignment="1">
      <x:alignment horizontal="left" vertical="center" wrapText="1"/>
    </x:xf>
    <x:xf numFmtId="0" fontId="6" fillId="4" borderId="6" xfId="0" applyFont="1" applyBorder="1" applyAlignment="1">
      <x:alignment horizontal="left" vertical="center" wrapText="1"/>
    </x:xf>
    <x:xf numFmtId="0" fontId="5" fillId="8" borderId="7" xfId="0" applyFont="1" applyBorder="1" applyAlignment="1">
      <x:alignment horizontal="center" vertical="center" wrapText="0"/>
    </x:xf>
    <x:xf numFmtId="0" fontId="11" fillId="4" borderId="8" xfId="0" applyFont="1" applyBorder="1" applyAlignment="1">
      <x:alignment horizontal="left" vertical="center" wrapText="1"/>
    </x:xf>
    <x:xf numFmtId="0" fontId="12" fillId="4" borderId="8" xfId="0" applyFont="1" applyBorder="1" applyAlignment="1">
      <x:alignment horizontal="left" vertical="center" wrapText="1"/>
    </x:xf>
    <x:xf numFmtId="0" fontId="5" fillId="7" borderId="8" xfId="0" applyFont="1" applyBorder="1" applyAlignment="1">
      <x:alignment horizontal="center" vertical="center" wrapText="0"/>
    </x:xf>
    <x:xf numFmtId="0" fontId="6" fillId="4" borderId="8" xfId="0" applyFont="1" applyBorder="1" applyAlignment="1">
      <x:alignment horizontal="left" vertical="center" wrapText="1"/>
    </x:xf>
    <x:xf numFmtId="0" fontId="5" fillId="7" borderId="7" xfId="0" applyFont="1" applyBorder="1" applyAlignment="1">
      <x:alignment horizontal="center" vertical="center" wrapText="0"/>
    </x:xf>
    <x:xf numFmtId="0" fontId="11" fillId="4" borderId="0" xfId="0" applyFont="1" applyAlignment="1">
      <x:alignment horizontal="left"/>
    </x:xf>
    <x:xf numFmtId="0" fontId="12" fillId="4" borderId="0" xfId="0" applyFont="1" applyAlignment="1">
      <x:alignment horizontal="left"/>
    </x:xf>
    <x:xf numFmtId="0" fontId="12" fillId="4" borderId="0" xfId="0" applyFont="1" applyAlignment="1">
      <x:alignment horizontal="left" wrapText="1"/>
    </x:xf>
    <x:xf numFmtId="0" fontId="5" fillId="8" borderId="0" xfId="0" applyFont="1" applyAlignment="1">
      <x:alignment horizontal="center" wrapText="0"/>
    </x:xf>
    <x:xf numFmtId="0" fontId="11" fillId="3" borderId="0" xfId="0" applyFont="1" applyAlignment="1">
      <x:alignment horizontal="left"/>
    </x:xf>
    <x:xf numFmtId="0" fontId="12" fillId="3" borderId="0" xfId="0" applyFont="1" applyAlignment="1">
      <x:alignment horizontal="left"/>
    </x:xf>
    <x:xf numFmtId="0" fontId="12" fillId="3" borderId="0" xfId="0" applyFont="1" applyAlignment="1">
      <x:alignment horizontal="left" wrapText="1"/>
    </x:xf>
    <x:xf numFmtId="0" fontId="13" fillId="0" borderId="0" xfId="0" applyFont="1" applyAlignment="1"/>
    <x:xf numFmtId="0" fontId="14" fillId="0" borderId="0" xfId="0" applyFont="1" applyAlignment="1"/>
    <x:xf numFmtId="0" fontId="14" fillId="0" borderId="0" xfId="0" applyFont="1" applyAlignment="1">
      <x:alignment wrapText="1"/>
    </x:xf>
    <x:xf numFmtId="0" fontId="5" fillId="3" borderId="4" xfId="0" applyFont="1" applyBorder="1" applyAlignment="1">
      <x:alignment horizontal="center" vertical="center" wrapText="0"/>
    </x:xf>
    <x:xf numFmtId="0" fontId="12" fillId="3" borderId="4" xfId="0" applyFont="1" applyBorder="1" applyAlignment="1">
      <x:alignment horizontal="left" vertical="center" wrapText="1"/>
    </x:xf>
    <x:xf numFmtId="0" fontId="5" fillId="4" borderId="4" xfId="0" applyFont="1" applyBorder="1" applyAlignment="1">
      <x:alignment horizontal="center" vertical="center" wrapText="0"/>
    </x:xf>
    <x:xf numFmtId="0" fontId="12" fillId="4" borderId="4" xfId="0" applyFont="1" applyBorder="1" applyAlignment="1">
      <x:alignment horizontal="left" vertical="center" wrapText="1"/>
    </x:xf>
    <x:xf numFmtId="0" fontId="12" fillId="0" borderId="0" xfId="0" applyFont="1" applyAlignment="1">
      <x:alignment horizontal="center" vertical="bottom" wrapText="0"/>
    </x:xf>
    <x:xf numFmtId="0" fontId="12" fillId="0" borderId="0" xfId="0" applyFont="1" applyAlignment="1">
      <x:alignment horizontal="left" vertical="center" wrapText="1"/>
    </x:xf>
    <x:xf numFmtId="0" fontId="4" fillId="0" borderId="0" xfId="0" applyFont="1" applyAlignment="1">
      <x:alignment vertical="top" wrapText="1"/>
    </x:xf>
    <x:xf numFmtId="0" fontId="7" fillId="0" borderId="0" xfId="0" applyFont="1" applyAlignment="1">
      <x:alignment vertical="top" wrapText="1"/>
    </x:xf>
    <x:xf numFmtId="0" fontId="7" fillId="0" borderId="0" xfId="0" applyFont="1" applyAlignment="1">
      <x:alignment vertical="top" wrapText="1"/>
    </x:xf>
    <x:xf numFmtId="0" fontId="15" fillId="0" borderId="0" xfId="0" applyFont="1" applyAlignment="1">
      <x:alignment vertical="top" wrapText="1"/>
    </x:xf>
    <x:xf numFmtId="0" fontId="7" fillId="0" borderId="0" xfId="0" applyFont="1" applyAlignment="1">
      <x:alignment horizontal="center" vertical="top" wrapText="1"/>
    </x:xf>
    <x:xf numFmtId="0" fontId="7" fillId="0" borderId="0" xfId="0" applyFont="1" applyAlignment="1">
      <x:alignment wrapText="1"/>
    </x:xf>
    <x:xf numFmtId="0" fontId="15" fillId="0" borderId="0" xfId="0" applyFont="1" applyAlignment="1">
      <x:alignment wrapText="1"/>
    </x:xf>
    <x:xf numFmtId="0" fontId="9" fillId="5" borderId="5" xfId="0" applyFont="1" applyBorder="1" applyAlignment="1">
      <x:alignment horizontal="center" vertical="center" wrapText="1"/>
    </x:xf>
    <x:xf numFmtId="165" fontId="5" fillId="3" borderId="4" xfId="0" applyNumberFormat="1" applyFont="1" applyBorder="1" applyAlignment="1">
      <x:alignment vertical="bottom" wrapText="0"/>
    </x:xf>
    <x:xf numFmtId="165" fontId="5" fillId="4" borderId="4" xfId="0" applyNumberFormat="1" applyFont="1" applyBorder="1" applyAlignment="1">
      <x:alignment vertical="bottom" wrapText="0"/>
    </x:xf>
    <x:xf numFmtId="0" fontId="7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horizontal="center" vertical="top" wrapText="1"/>
    </x:xf>
    <x:xf numFmtId="0" fontId="7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horizontal="center" vertical="top" wrapText="1"/>
    </x:xf>
    <x:xf numFmtId="0" fontId="16" fillId="0" borderId="0" xfId="0" applyNumberFormat="1" applyFont="1" applyFill="1" applyBorder="1" applyAlignment="1">
      <x:alignment vertical="top" wrapText="1"/>
    </x:xf>
    <x:xf numFmtId="0" fontId="17" fillId="0" borderId="0" xfId="0" applyNumberFormat="1" applyFont="1" applyFill="1" applyBorder="1" applyAlignment="1">
      <x:alignment vertical="bottom" wrapText="0"/>
    </x:xf>
    <x:xf numFmtId="0" fontId="17" fillId="0" borderId="0" xfId="0" applyNumberFormat="1" applyFont="1" applyFill="1" applyBorder="1" applyAlignment="1">
      <x:alignment horizontal="center" vertical="bottom" wrapText="0"/>
    </x:xf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horizontal="left" wrapText="1"/>
    </x:xf>
    <x:xf numFmtId="0" fontId="16" fillId="0" borderId="0" xfId="0" applyNumberFormat="1" applyFont="1" applyFill="1" applyBorder="1" applyAlignment="1">
      <x:alignment horizontal="left" vertical="top" wrapText="1"/>
    </x:xf>
    <x:xf numFmtId="0" fontId="17" fillId="0" borderId="0" xfId="0" applyNumberFormat="1" applyFont="1" applyFill="1" applyBorder="1" applyAlignment="1">
      <x:alignment horizontal="center" vertical="bottom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acdd50c6c5d4a28" /><Relationship Type="http://schemas.openxmlformats.org/officeDocument/2006/relationships/theme" Target="/xl/theme/theme1.xml" Id="Ree666ee50e4546e4" /><Relationship Type="http://schemas.openxmlformats.org/officeDocument/2006/relationships/sharedStrings" Target="/xl/sharedStrings.xml" Id="R426ec2f0c75f480d" /><Relationship Type="http://schemas.openxmlformats.org/officeDocument/2006/relationships/worksheet" Target="/xl/worksheets/sheet1.xml" Id="R38c2234046b8464c" /><Relationship Type="http://schemas.openxmlformats.org/officeDocument/2006/relationships/worksheet" Target="/xl/worksheets/sheet2.xml" Id="R1b2c8338b93a4688" /><Relationship Type="http://schemas.openxmlformats.org/officeDocument/2006/relationships/worksheet" Target="/xl/worksheets/sheet3.xml" Id="R124ff7d611be405f" /><Relationship Type="http://schemas.openxmlformats.org/officeDocument/2006/relationships/worksheet" Target="/xl/worksheets/sheet4.xml" Id="Rb08389583c244efc" /><Relationship Type="http://schemas.openxmlformats.org/officeDocument/2006/relationships/worksheet" Target="/xl/worksheets/sheet5.xml" Id="R767b57c29b174f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14.430000305175781" defaultRowHeight="15"/>
  <x:cols>
    <x:col min="1" max="1" width="22" customWidth="1"/>
    <x:col min="2" max="2" width="14" customWidth="1"/>
    <x:col min="3" max="3" width="6" customWidth="1"/>
    <x:col min="4" max="4" width="22" customWidth="1"/>
    <x:col min="5" max="5" width="14" customWidth="1"/>
    <x:col min="6" max="6" width="62" customWidth="1"/>
    <x:col min="7" max="26" width="8.710000038146973" customWidth="1"/>
  </x:cols>
  <x:sheetData>
    <x:row r="1" ht="42" customHeight="1">
      <x:c r="A1" s="1" t="s">
        <x:v>0</x:v>
      </x:c>
      <x:c r="B1" s="2"/>
      <x:c r="C1" s="2"/>
      <x:c r="D1" s="2"/>
      <x:c r="E1" s="2"/>
      <x:c r="F1" s="2"/>
      <x:c r="G1" s="3"/>
    </x:row>
    <x:row r="2" ht="21.75" customHeight="1">
      <x:c r="A2" s="4" t="s">
        <x:v>1</x:v>
      </x:c>
      <x:c r="B2" s="2"/>
      <x:c r="C2" s="2"/>
      <x:c r="D2" s="2"/>
      <x:c r="E2" s="2"/>
      <x:c r="F2" s="2"/>
      <x:c r="G2" s="3"/>
    </x:row>
    <x:row r="3" ht="13.5" customHeight="1"/>
    <x:row r="4">
      <x:c r="A4" s="5" t="s">
        <x:v>2</x:v>
      </x:c>
      <x:c r="D4" s="5" t="s">
        <x:v>3</x:v>
      </x:c>
    </x:row>
    <x:row r="5">
      <x:c r="A5" s="6" t="s">
        <x:v>4</x:v>
      </x:c>
      <x:c r="B5" s="6" t="n">
        <x:f>COUNTIF('Master Tracker'!C4:C164,"✅ Done")+COUNTIF('Master Tracker'!C4:C164,"🔄 In Progress")+COUNTIF('Master Tracker'!C4:C164,"📋 Not Started")</x:f>
        <x:v>148</x:v>
      </x:c>
      <x:c r="D5" s="6" t="s">
        <x:v>5</x:v>
      </x:c>
      <x:c r="E5" s="6" t="n">
        <x:f>COUNTA(Backlog!A2:A30)</x:f>
        <x:v>16</x:v>
      </x:c>
    </x:row>
    <x:row r="6">
      <x:c r="A6" s="7" t="s">
        <x:v>6</x:v>
      </x:c>
      <x:c r="B6" s="7" t="n">
        <x:f>COUNTIF('Master Tracker'!C4:C164,"✅ Done")</x:f>
        <x:v>13</x:v>
      </x:c>
      <x:c r="D6" s="7" t="s">
        <x:v>7</x:v>
      </x:c>
      <x:c r="E6" s="7" t="n">
        <x:f>COUNTIF(Backlog!E2:E30,"📋 Not Started")</x:f>
        <x:v>13</x:v>
      </x:c>
    </x:row>
    <x:row r="7">
      <x:c r="A7" s="6" t="s">
        <x:v>8</x:v>
      </x:c>
      <x:c r="B7" s="6" t="n">
        <x:f>COUNTIF('Master Tracker'!C4:C164,"🔄 In Progress")</x:f>
        <x:v>49</x:v>
      </x:c>
    </x:row>
    <x:row r="8">
      <x:c r="A8" s="7" t="s">
        <x:v>7</x:v>
      </x:c>
      <x:c r="B8" s="7" t="n">
        <x:f>COUNTIF('Master Tracker'!C4:C164,"📋 Not Started")</x:f>
        <x:v>86</x:v>
      </x:c>
    </x:row>
    <x:row r="9">
      <x:c r="A9" s="6" t="s">
        <x:v>9</x:v>
      </x:c>
      <x:c r="B9" s="8" t="n">
        <x:f>IF(B5=0,0,B6/B5)</x:f>
        <x:v>0.08783783783783784</x:v>
      </x:c>
    </x:row>
    <x:row r="10" ht="13.5" customHeight="1"/>
    <x:row r="12">
      <x:c r="A12" s="9" t="s">
        <x:v>10</x:v>
      </x:c>
      <x:c r="C12" s="9" t="s">
        <x:v>11</x:v>
      </x:c>
    </x:row>
    <x:row r="13" ht="22.5" customHeight="1">
      <x:c r="A13" s="9" t="s">
        <x:v>6</x:v>
      </x:c>
      <x:c r="C13" s="31" t="str">
        <x:v>• Statuses reconciled against the repository and founder decisions through July 16, 2026.</x:v>
      </x:c>
    </x:row>
    <x:row r="14" ht="16.5" customHeight="1">
      <x:c r="A14" s="9" t="s">
        <x:v>8</x:v>
      </x:c>
      <x:c r="C14" s="10" t="s">
        <x:v>12</x:v>
      </x:c>
    </x:row>
    <x:row r="15" ht="16.5" customHeight="1">
      <x:c r="A15" s="9" t="s">
        <x:v>7</x:v>
      </x:c>
      <x:c r="C15" s="10" t="s">
        <x:v>13</x:v>
      </x:c>
    </x:row>
    <x:row r="16" ht="16.5" customHeight="1">
      <x:c r="C16" s="10" t="s">
        <x:v>14</x:v>
      </x:c>
    </x:row>
    <x:row r="17" ht="16.5" customHeight="1">
      <x:c r="C17" s="10" t="s">
        <x:v>15</x:v>
      </x:c>
    </x:row>
    <x:row r="18" ht="16.5" customHeight="1">
      <x:c r="C18" s="10" t="s">
        <x:v>16</x:v>
      </x:c>
    </x:row>
    <x:row r="19" ht="16.5" customHeight="1">
      <x:c r="C19" s="10" t="s">
        <x:v>17</x:v>
      </x:c>
    </x:row>
    <x:row r="20" ht="31.5" customHeight="1">
      <x:c r="C20" s="37" t="str">
        <x:v>• Sakura Kiss Edition — updated July 16, 2026. Phase 1 is verified; Phase 2 remains partially complete; Phase 3 core-auth backend slice is implemented and locally verified.</x:v>
      </x:c>
    </x:row>
    <x:row r="21" ht="16.5" customHeight="1">
      <x:c r="C21" s="11" t="str">
        <x:v>Connect Tech LLC</x:v>
      </x:c>
    </x:row>
    <x:row r="22" ht="15.75" customHeight="1"/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G1"/>
    <x:mergeCell ref="A2:G2"/>
    <x:mergeCell ref="C12:G12"/>
    <x:mergeCell ref="C13:G13"/>
    <x:mergeCell ref="C14:G14"/>
    <x:mergeCell ref="C15:G15"/>
    <x:mergeCell ref="C16:G16"/>
    <x:mergeCell ref="C17:G17"/>
    <x:mergeCell ref="C18:G18"/>
    <x:mergeCell ref="C19:G19"/>
    <x:mergeCell ref="C20:G20"/>
    <x:mergeCell ref="C21:G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14.430000305175781" defaultRowHeight="15"/>
  <x:cols>
    <x:col min="1" max="1" width="40" customWidth="1"/>
    <x:col min="2" max="2" width="144.57000732421875" customWidth="1"/>
    <x:col min="3" max="3" width="18" customWidth="1"/>
    <x:col min="4" max="4" width="112.86000061035156" customWidth="1"/>
    <x:col min="5" max="5" width="9.710000038146973" customWidth="1"/>
    <x:col min="6" max="25" width="8.710000038146973" customWidth="1"/>
  </x:cols>
  <x:sheetData>
    <x:row r="1" ht="42" customHeight="1">
      <x:c r="A1" s="1" t="s">
        <x:v>18</x:v>
      </x:c>
      <x:c r="B1" s="2"/>
      <x:c r="C1" s="2"/>
      <x:c r="D1" s="3"/>
      <x:c r="E1" s="12"/>
    </x:row>
    <x:row r="2" ht="24" customHeight="1">
      <x:c r="A2" s="13" t="s">
        <x:v>19</x:v>
      </x:c>
      <x:c r="B2" s="2"/>
      <x:c r="C2" s="2"/>
      <x:c r="D2" s="3"/>
      <x:c r="E2" s="12"/>
    </x:row>
    <x:row r="3" ht="25.5" customHeight="1">
      <x:c r="A3" s="14" t="s">
        <x:v>20</x:v>
      </x:c>
      <x:c r="B3" s="14" t="s">
        <x:v>21</x:v>
      </x:c>
      <x:c r="C3" s="14" t="s">
        <x:v>22</x:v>
      </x:c>
      <x:c r="D3" s="14" t="s">
        <x:v>23</x:v>
      </x:c>
      <x:c r="E3" s="12"/>
    </x:row>
    <x:row r="4" ht="27.75" customHeight="1">
      <x:c r="A4" s="15" t="s">
        <x:v>24</x:v>
      </x:c>
      <x:c r="B4" s="2"/>
      <x:c r="C4" s="2"/>
      <x:c r="D4" s="3"/>
    </x:row>
    <x:row r="5">
      <x:c r="A5" s="16" t="s">
        <x:v>25</x:v>
      </x:c>
      <x:c r="B5" s="17" t="s">
        <x:v>26</x:v>
      </x:c>
      <x:c r="C5" s="18" t="s">
        <x:v>6</x:v>
      </x:c>
      <x:c r="D5" s="19" t="s">
        <x:v>27</x:v>
      </x:c>
    </x:row>
    <x:row r="6">
      <x:c r="A6" s="20" t="s">
        <x:v>28</x:v>
      </x:c>
      <x:c r="B6" s="21" t="s">
        <x:v>29</x:v>
      </x:c>
      <x:c r="C6" s="18" t="s">
        <x:v>6</x:v>
      </x:c>
      <x:c r="D6" s="22" t="s">
        <x:v>30</x:v>
      </x:c>
    </x:row>
    <x:row r="7">
      <x:c r="A7" s="16" t="s">
        <x:v>31</x:v>
      </x:c>
      <x:c r="B7" s="17" t="s">
        <x:v>32</x:v>
      </x:c>
      <x:c r="C7" s="18" t="s">
        <x:v>6</x:v>
      </x:c>
      <x:c r="D7" s="19" t="s">
        <x:v>33</x:v>
      </x:c>
    </x:row>
    <x:row r="8">
      <x:c r="A8" s="20" t="s">
        <x:v>34</x:v>
      </x:c>
      <x:c r="B8" s="21" t="s">
        <x:v>35</x:v>
      </x:c>
      <x:c r="C8" s="23" t="s">
        <x:v>8</x:v>
      </x:c>
      <x:c r="D8" s="22" t="inlineStr">
        <x:is>
          <x:t xml:space="preserve">Detailed phased roadmap created in repository PLAN.md; tracker reconciliation continues.</x:t>
        </x:is>
      </x:c>
    </x:row>
    <x:row r="9">
      <x:c r="A9" s="16" t="s">
        <x:v>36</x:v>
      </x:c>
      <x:c r="B9" s="17" t="s">
        <x:v>37</x:v>
      </x:c>
      <x:c r="C9" s="24" t="s">
        <x:v>7</x:v>
      </x:c>
      <x:c r="D9" s="19" t="s">
        <x:v>38</x:v>
      </x:c>
    </x:row>
    <x:row r="10" ht="27.75" customHeight="1">
      <x:c r="A10" s="15" t="s">
        <x:v>39</x:v>
      </x:c>
      <x:c r="B10" s="2"/>
      <x:c r="C10" s="2"/>
      <x:c r="D10" s="3"/>
    </x:row>
    <x:row r="11">
      <x:c r="A11" s="16" t="s">
        <x:v>40</x:v>
      </x:c>
      <x:c r="B11" s="17" t="s">
        <x:v>41</x:v>
      </x:c>
      <x:c r="C11" s="23" t="s">
        <x:v>8</x:v>
      </x:c>
      <x:c r="D11" s="19" t="s">
        <x:v>42</x:v>
      </x:c>
    </x:row>
    <x:row r="12">
      <x:c r="A12" s="20" t="s">
        <x:v>43</x:v>
      </x:c>
      <x:c r="B12" s="21" t="s">
        <x:v>44</x:v>
      </x:c>
      <x:c r="C12" s="23" t="s">
        <x:v>8</x:v>
      </x:c>
      <x:c r="D12" s="22" t="s">
        <x:v>45</x:v>
      </x:c>
    </x:row>
    <x:row r="13">
      <x:c r="A13" s="16" t="s">
        <x:v>46</x:v>
      </x:c>
      <x:c r="B13" s="17" t="s">
        <x:v>47</x:v>
      </x:c>
      <x:c r="C13" s="23" t="s">
        <x:v>8</x:v>
      </x:c>
      <x:c r="D13" s="19" t="s">
        <x:v>48</x:v>
      </x:c>
    </x:row>
    <x:row r="14">
      <x:c r="A14" s="20" t="s">
        <x:v>49</x:v>
      </x:c>
      <x:c r="B14" s="21" t="s">
        <x:v>50</x:v>
      </x:c>
      <x:c r="C14" s="23" t="s">
        <x:v>8</x:v>
      </x:c>
      <x:c r="D14" s="22" t="s">
        <x:v>51</x:v>
      </x:c>
    </x:row>
    <x:row r="15">
      <x:c r="A15" s="16" t="s">
        <x:v>52</x:v>
      </x:c>
      <x:c r="B15" s="17" t="s">
        <x:v>53</x:v>
      </x:c>
      <x:c r="C15" s="23" t="s">
        <x:v>8</x:v>
      </x:c>
      <x:c r="D15" s="19" t="s">
        <x:v>54</x:v>
      </x:c>
    </x:row>
    <x:row r="16">
      <x:c r="A16" s="20" t="s">
        <x:v>55</x:v>
      </x:c>
      <x:c r="B16" s="21" t="s">
        <x:v>56</x:v>
      </x:c>
      <x:c r="C16" s="23" t="s">
        <x:v>8</x:v>
      </x:c>
      <x:c r="D16" s="22" t="s">
        <x:v>57</x:v>
      </x:c>
    </x:row>
    <x:row r="17">
      <x:c r="A17" s="16" t="s">
        <x:v>58</x:v>
      </x:c>
      <x:c r="B17" s="17" t="s">
        <x:v>59</x:v>
      </x:c>
      <x:c r="C17" s="23" t="s">
        <x:v>8</x:v>
      </x:c>
      <x:c r="D17" s="19" t="s">
        <x:v>60</x:v>
      </x:c>
    </x:row>
    <x:row r="18">
      <x:c r="A18" s="20" t="s">
        <x:v>61</x:v>
      </x:c>
      <x:c r="B18" s="21" t="s">
        <x:v>62</x:v>
      </x:c>
      <x:c r="C18" s="23" t="s">
        <x:v>8</x:v>
      </x:c>
      <x:c r="D18" s="22" t="s">
        <x:v>63</x:v>
      </x:c>
    </x:row>
    <x:row r="19">
      <x:c r="A19" s="16" t="s">
        <x:v>64</x:v>
      </x:c>
      <x:c r="B19" s="17" t="s">
        <x:v>65</x:v>
      </x:c>
      <x:c r="C19" s="23" t="s">
        <x:v>8</x:v>
      </x:c>
      <x:c r="D19" s="19" t="s">
        <x:v>66</x:v>
      </x:c>
    </x:row>
    <x:row r="20">
      <x:c r="A20" s="20" t="s">
        <x:v>67</x:v>
      </x:c>
      <x:c r="B20" s="21" t="s">
        <x:v>68</x:v>
      </x:c>
      <x:c r="C20" s="24" t="s">
        <x:v>7</x:v>
      </x:c>
      <x:c r="D20" s="22" t="inlineStr">
        <x:is>
          <x:t xml:space="preserve">CCBill/Epoch applications have not started. Assemble the compliance package in parallel with product development.</x:t>
        </x:is>
      </x:c>
    </x:row>
    <x:row r="21" ht="15.75" customHeight="1">
      <x:c r="A21" s="16" t="s">
        <x:v>69</x:v>
      </x:c>
      <x:c r="B21" s="17" t="s">
        <x:v>70</x:v>
      </x:c>
      <x:c r="C21" s="24" t="s">
        <x:v>7</x:v>
      </x:c>
      <x:c r="D21" s="19" t="s">
        <x:v>71</x:v>
      </x:c>
    </x:row>
    <x:row r="22" ht="15.75" customHeight="1">
      <x:c r="A22" s="20" t="s">
        <x:v>72</x:v>
      </x:c>
      <x:c r="B22" s="21" t="s">
        <x:v>73</x:v>
      </x:c>
      <x:c r="C22" s="24" t="s">
        <x:v>7</x:v>
      </x:c>
      <x:c r="D22" s="22" t="s">
        <x:v>74</x:v>
      </x:c>
    </x:row>
    <x:row r="23" ht="15.75" customHeight="1">
      <x:c r="A23" s="16" t="s">
        <x:v>75</x:v>
      </x:c>
      <x:c r="B23" s="17" t="s">
        <x:v>76</x:v>
      </x:c>
      <x:c r="C23" s="23" t="s">
        <x:v>8</x:v>
      </x:c>
      <x:c r="D23" s="19" t="s">
        <x:v>77</x:v>
      </x:c>
    </x:row>
    <x:row r="24" ht="15.75" customHeight="1">
      <x:c r="A24" s="20" t="s">
        <x:v>78</x:v>
      </x:c>
      <x:c r="B24" s="21" t="s">
        <x:v>79</x:v>
      </x:c>
      <x:c r="C24" s="23" t="s">
        <x:v>8</x:v>
      </x:c>
      <x:c r="D24" s="22" t="s">
        <x:v>80</x:v>
      </x:c>
    </x:row>
    <x:row r="25" ht="15.75" customHeight="1">
      <x:c r="A25" s="16" t="s">
        <x:v>81</x:v>
      </x:c>
      <x:c r="B25" s="17" t="s">
        <x:v>82</x:v>
      </x:c>
      <x:c r="C25" s="23" t="s">
        <x:v>8</x:v>
      </x:c>
      <x:c r="D25" s="19" t="inlineStr">
        <x:is>
          <x:t xml:space="preserve">Entity not filed. Evaluate Wyoming and other privacy/no-individual-income-tax candidates with an attorney and CPA; account for foreign qualification where the founder operates.</x:t>
        </x:is>
      </x:c>
    </x:row>
    <x:row r="26" ht="15.75" customHeight="1">
      <x:c r="A26" s="20" t="s">
        <x:v>83</x:v>
      </x:c>
      <x:c r="B26" s="21" t="s">
        <x:v>84</x:v>
      </x:c>
      <x:c r="C26" s="24" t="s">
        <x:v>7</x:v>
      </x:c>
      <x:c r="D26" s="22" t="s">
        <x:v>85</x:v>
      </x:c>
    </x:row>
    <x:row r="27" ht="15.75" customHeight="1">
      <x:c r="A27" s="16" t="s">
        <x:v>86</x:v>
      </x:c>
      <x:c r="B27" s="17" t="s">
        <x:v>87</x:v>
      </x:c>
      <x:c r="C27" s="24" t="s">
        <x:v>7</x:v>
      </x:c>
      <x:c r="D27" s="19" t="s">
        <x:v>88</x:v>
      </x:c>
    </x:row>
    <x:row r="28" ht="15.75" customHeight="1">
      <x:c r="A28" s="20" t="s">
        <x:v>89</x:v>
      </x:c>
      <x:c r="B28" s="21" t="s">
        <x:v>90</x:v>
      </x:c>
      <x:c r="C28" s="24" t="s">
        <x:v>7</x:v>
      </x:c>
      <x:c r="D28" s="22" t="s">
        <x:v>91</x:v>
      </x:c>
    </x:row>
    <x:row r="29" ht="15.75" customHeight="1">
      <x:c r="A29" s="16" t="s">
        <x:v>92</x:v>
      </x:c>
      <x:c r="B29" s="17" t="s">
        <x:v>93</x:v>
      </x:c>
      <x:c r="C29" s="24" t="s">
        <x:v>7</x:v>
      </x:c>
      <x:c r="D29" s="19" t="s">
        <x:v>94</x:v>
      </x:c>
    </x:row>
    <x:row r="30" ht="15.75" customHeight="1">
      <x:c r="A30" s="20" t="s">
        <x:v>95</x:v>
      </x:c>
      <x:c r="B30" s="21" t="s">
        <x:v>96</x:v>
      </x:c>
      <x:c r="C30" s="24" t="s">
        <x:v>7</x:v>
      </x:c>
      <x:c r="D30" s="22" t="s">
        <x:v>97</x:v>
      </x:c>
    </x:row>
    <x:row r="31" ht="15.75" customHeight="1">
      <x:c r="A31" s="16" t="s">
        <x:v>98</x:v>
      </x:c>
      <x:c r="B31" s="17" t="s">
        <x:v>99</x:v>
      </x:c>
      <x:c r="C31" s="24" t="s">
        <x:v>7</x:v>
      </x:c>
      <x:c r="D31" s="19" t="s">
        <x:v>100</x:v>
      </x:c>
    </x:row>
    <x:row r="32" ht="15.75" customHeight="1">
      <x:c r="A32" s="20" t="s">
        <x:v>101</x:v>
      </x:c>
      <x:c r="B32" s="21" t="s">
        <x:v>102</x:v>
      </x:c>
      <x:c r="C32" s="24" t="s">
        <x:v>7</x:v>
      </x:c>
      <x:c r="D32" s="22" t="s">
        <x:v>103</x:v>
      </x:c>
    </x:row>
    <x:row r="33" ht="15.75" customHeight="1">
      <x:c r="A33" s="16" t="s">
        <x:v>104</x:v>
      </x:c>
      <x:c r="B33" s="17" t="s">
        <x:v>105</x:v>
      </x:c>
      <x:c r="C33" s="24" t="s">
        <x:v>7</x:v>
      </x:c>
      <x:c r="D33" s="19" t="s">
        <x:v>106</x:v>
      </x:c>
    </x:row>
    <x:row r="34" ht="15.75" customHeight="1">
      <x:c r="A34" s="20" t="s">
        <x:v>107</x:v>
      </x:c>
      <x:c r="B34" s="21" t="s">
        <x:v>108</x:v>
      </x:c>
      <x:c r="C34" s="24" t="s">
        <x:v>7</x:v>
      </x:c>
      <x:c r="D34" s="22" t="s">
        <x:v>109</x:v>
      </x:c>
    </x:row>
    <x:row r="35" ht="27.75" customHeight="1">
      <x:c r="A35" s="15" t="s">
        <x:v>110</x:v>
      </x:c>
      <x:c r="B35" s="2"/>
      <x:c r="C35" s="2"/>
      <x:c r="D35" s="3"/>
    </x:row>
    <x:row r="36" ht="15.75" customHeight="1">
      <x:c r="A36" s="16" t="s">
        <x:v>111</x:v>
      </x:c>
      <x:c r="B36" s="17" t="s">
        <x:v>112</x:v>
      </x:c>
      <x:c r="C36" s="18" t="s">
        <x:v>6</x:v>
      </x:c>
      <x:c r="D36" s="19" t="s">
        <x:v>113</x:v>
      </x:c>
    </x:row>
    <x:row r="37" ht="15.75" customHeight="1">
      <x:c r="A37" s="20" t="s">
        <x:v>114</x:v>
      </x:c>
      <x:c r="B37" s="21" t="s">
        <x:v>115</x:v>
      </x:c>
      <x:c r="C37" s="23" t="s">
        <x:v>8</x:v>
      </x:c>
      <x:c r="D37" s="22" t="s">
        <x:v>116</x:v>
      </x:c>
    </x:row>
    <x:row r="38" ht="15.75" customHeight="1">
      <x:c r="A38" s="16" t="s">
        <x:v>117</x:v>
      </x:c>
      <x:c r="B38" s="17" t="s">
        <x:v>118</x:v>
      </x:c>
      <x:c r="C38" s="23" t="s">
        <x:v>8</x:v>
      </x:c>
      <x:c r="D38" s="19" t="s">
        <x:v>119</x:v>
      </x:c>
    </x:row>
    <x:row r="39" ht="15.75" customHeight="1">
      <x:c r="A39" s="20" t="s">
        <x:v>120</x:v>
      </x:c>
      <x:c r="B39" s="21" t="s">
        <x:v>121</x:v>
      </x:c>
      <x:c r="C39" s="18" t="s">
        <x:v>6</x:v>
      </x:c>
      <x:c r="D39" s="22" t="s">
        <x:v>122</x:v>
      </x:c>
    </x:row>
    <x:row r="40" ht="15.75" customHeight="1">
      <x:c r="A40" s="16" t="s">
        <x:v>123</x:v>
      </x:c>
      <x:c r="B40" s="17" t="s">
        <x:v>124</x:v>
      </x:c>
      <x:c r="C40" s="23" t="s">
        <x:v>8</x:v>
      </x:c>
      <x:c r="D40" s="19" t="s">
        <x:v>125</x:v>
      </x:c>
    </x:row>
    <x:row r="41" ht="15.75" customHeight="1">
      <x:c r="A41" s="20" t="s">
        <x:v>126</x:v>
      </x:c>
      <x:c r="B41" s="21" t="s">
        <x:v>127</x:v>
      </x:c>
      <x:c r="C41" s="23" t="s">
        <x:v>8</x:v>
      </x:c>
      <x:c r="D41" s="22" t="s">
        <x:v>128</x:v>
      </x:c>
    </x:row>
    <x:row r="42" ht="15.75" customHeight="1">
      <x:c r="A42" s="16" t="s">
        <x:v>129</x:v>
      </x:c>
      <x:c r="B42" s="17" t="s">
        <x:v>130</x:v>
      </x:c>
      <x:c r="C42" s="24" t="s">
        <x:v>7</x:v>
      </x:c>
      <x:c r="D42" s="19" t="s">
        <x:v>131</x:v>
      </x:c>
    </x:row>
    <x:row r="43" ht="15.75" customHeight="1">
      <x:c r="A43" s="20" t="s">
        <x:v>132</x:v>
      </x:c>
      <x:c r="B43" s="21" t="s">
        <x:v>133</x:v>
      </x:c>
      <x:c r="C43" s="24" t="s">
        <x:v>7</x:v>
      </x:c>
      <x:c r="D43" s="22" t="s">
        <x:v>134</x:v>
      </x:c>
    </x:row>
    <x:row r="44" ht="27.75" customHeight="1">
      <x:c r="A44" s="15" t="s">
        <x:v>135</x:v>
      </x:c>
      <x:c r="B44" s="2"/>
      <x:c r="C44" s="2"/>
      <x:c r="D44" s="3"/>
    </x:row>
    <x:row r="45" ht="15.75" customHeight="1">
      <x:c r="A45" s="16" t="s">
        <x:v>136</x:v>
      </x:c>
      <x:c r="B45" s="17" t="s">
        <x:v>137</x:v>
      </x:c>
      <x:c r="C45" s="18" t="s">
        <x:v>6</x:v>
      </x:c>
      <x:c r="D45" s="19" t="s">
        <x:v>138</x:v>
      </x:c>
    </x:row>
    <x:row r="46" ht="15.75" customHeight="1">
      <x:c r="A46" s="20" t="s">
        <x:v>139</x:v>
      </x:c>
      <x:c r="B46" s="21" t="s">
        <x:v>140</x:v>
      </x:c>
      <x:c r="C46" s="24" t="s">
        <x:v>7</x:v>
      </x:c>
      <x:c r="D46" s="22" t="s">
        <x:v>141</x:v>
      </x:c>
    </x:row>
    <x:row r="47" ht="15.75" customHeight="1">
      <x:c r="A47" s="16" t="s">
        <x:v>142</x:v>
      </x:c>
      <x:c r="B47" s="17" t="s">
        <x:v>143</x:v>
      </x:c>
      <x:c r="C47" s="24" t="str">
        <x:v>🔄 In Progress</x:v>
      </x:c>
      <x:c r="D47" s="19" t="str">
        <x:v>Local PostgreSQL/Prisma foundation now includes repeatable User, Session, and append-only AcceptanceRecord migrations. Remaining product domains and production RDS schema are pending.</x:v>
      </x:c>
    </x:row>
    <x:row r="48" ht="15.75" customHeight="1">
      <x:c r="A48" s="20" t="s">
        <x:v>144</x:v>
      </x:c>
      <x:c r="B48" s="21" t="s">
        <x:v>145</x:v>
      </x:c>
      <x:c r="C48" s="24" t="str">
        <x:v>🔄 In Progress</x:v>
      </x:c>
      <x:c r="D48" s="22" t="str">
        <x:v>Local environment is defined with validated variables and Docker PostgreSQL. Staging and production infrastructure remain pending.</x:v>
      </x:c>
    </x:row>
    <x:row r="49" ht="15.75" customHeight="1">
      <x:c r="A49" s="16" t="s">
        <x:v>146</x:v>
      </x:c>
      <x:c r="B49" s="17" t="s">
        <x:v>147</x:v>
      </x:c>
      <x:c r="C49" s="23" t="inlineStr">
        <x:is>
          <x:t xml:space="preserve">🔄 In Progress</x:t>
        </x:is>
      </x:c>
      <x:c r="D49" s="19" t="str">
        <x:v>Implemented /api/v1 health/readiness plus core auth endpoints: register, login, logout, logout-all, and /me. Later product domains remain pending.</x:v>
      </x:c>
    </x:row>
    <x:row r="50" ht="15.75" customHeight="1">
      <x:c r="A50" s="20" t="s">
        <x:v>148</x:v>
      </x:c>
      <x:c r="B50" s="21" t="s">
        <x:v>149</x:v>
      </x:c>
      <x:c r="C50" s="24" t="str">
        <x:v>🔄 In Progress</x:v>
      </x:c>
      <x:c r="D50" s="22" t="str">
        <x:v>Structured Pino request logging is implemented with request IDs and secret-header redaction. Sentry/operational error monitoring remains pending.</x:v>
      </x:c>
    </x:row>
    <x:row r="51" ht="15.75" customHeight="1">
      <x:c r="A51" s="16" t="s">
        <x:v>150</x:v>
      </x:c>
      <x:c r="B51" s="17" t="s">
        <x:v>151</x:v>
      </x:c>
      <x:c r="C51" s="24" t="s">
        <x:v>7</x:v>
      </x:c>
      <x:c r="D51" s="19" t="s">
        <x:v>152</x:v>
      </x:c>
    </x:row>
    <x:row r="52" ht="15.75" customHeight="1">
      <x:c r="A52" s="20" t="s">
        <x:v>153</x:v>
      </x:c>
      <x:c r="B52" s="21" t="s">
        <x:v>154</x:v>
      </x:c>
      <x:c r="C52" s="24" t="str">
        <x:v>🔄 In Progress</x:v>
      </x:c>
      <x:c r="D52" s="22" t="str">
        <x:v>Global per-IP limits and a bounded in-memory per-email+IP login-failure throttle are implemented. Redis-backed multi-instance protection remains pending.</x:v>
      </x:c>
    </x:row>
    <x:row r="53" ht="15.75" customHeight="1">
      <x:c r="A53" s="16" t="s">
        <x:v>155</x:v>
      </x:c>
      <x:c r="B53" s="17" t="s">
        <x:v>156</x:v>
      </x:c>
      <x:c r="C53" s="23" t="inlineStr">
        <x:is>
          <x:t xml:space="preserve">🔄 In Progress</x:t>
        </x:is>
      </x:c>
      <x:c r="D53" s="19" t="str">
        <x:v>CI runs web lint/tests/build/E2E plus API build, migrations, seed, and DB-backed tests on PostgreSQL 17. Deployment automation remains pending.</x:v>
      </x:c>
    </x:row>
    <x:row r="54" ht="15.75" customHeight="1">
      <x:c r="A54" s="20" t="s">
        <x:v>157</x:v>
      </x:c>
      <x:c r="B54" s="21" t="s">
        <x:v>158</x:v>
      </x:c>
      <x:c r="C54" s="24" t="s">
        <x:v>7</x:v>
      </x:c>
      <x:c r="D54" s="22" t="s">
        <x:v>159</x:v>
      </x:c>
    </x:row>
    <x:row r="55" ht="27.75" customHeight="1">
      <x:c r="A55" s="15" t="s">
        <x:v>160</x:v>
      </x:c>
      <x:c r="B55" s="2"/>
      <x:c r="C55" s="2"/>
      <x:c r="D55" s="3"/>
    </x:row>
    <x:row r="56" ht="15.75" customHeight="1">
      <x:c r="A56" s="16" t="s">
        <x:v>161</x:v>
      </x:c>
      <x:c r="B56" s="17" t="s">
        <x:v>162</x:v>
      </x:c>
      <x:c r="C56" s="24" t="str">
        <x:v>🔄 In Progress</x:v>
      </x:c>
      <x:c r="D56" s="19" t="str">
        <x:v>Phase 3 slice 1 backend is implemented: registration, login, logout, logout-all, Argon2id hashing, duplicate handling, and public-user responses. Frontend integration remains slice 3.</x:v>
      </x:c>
    </x:row>
    <x:row r="57" ht="15.75" customHeight="1">
      <x:c r="A57" s="20" t="s">
        <x:v>163</x:v>
      </x:c>
      <x:c r="B57" s="21" t="s">
        <x:v>164</x:v>
      </x:c>
      <x:c r="C57" s="24" t="str">
        <x:v>🔄 In Progress</x:v>
      </x:c>
      <x:c r="D57" s="22" t="str">
        <x:v>Role enums and API requireAuth/requireRole enforcement are implemented and tested. Admin endpoints and frontend role routing remain pending.</x:v>
      </x:c>
    </x:row>
    <x:row r="58" ht="15.75" customHeight="1">
      <x:c r="A58" s="16" t="s">
        <x:v>165</x:v>
      </x:c>
      <x:c r="B58" s="17" t="s">
        <x:v>166</x:v>
      </x:c>
      <x:c r="C58" s="24" t="str">
        <x:v>🔄 In Progress</x:v>
      </x:c>
      <x:c r="D58" s="19" t="str">
        <x:v>Opaque SHA-256-hashed sessions, secure HttpOnly cookies, 30-day sliding expiry, daily renewal throttle, revocation, and logout-all are implemented. Frontend persistence remains pending.</x:v>
      </x:c>
    </x:row>
    <x:row r="59" ht="15.75" customHeight="1">
      <x:c r="A59" s="20" t="s">
        <x:v>167</x:v>
      </x:c>
      <x:c r="B59" s="21" t="s">
        <x:v>168</x:v>
      </x:c>
      <x:c r="C59" s="23" t="inlineStr">
        <x:is>
          <x:t xml:space="preserve">🔄 In Progress</x:t>
        </x:is>
      </x:c>
      <x:c r="D59" s="19" t="inlineStr">
        <x:is>
          <x:t xml:space="preserve">Creator onboarding UI prototype exists. Real identity, agreement, tax, role, and approval workflows are pending.</x:t>
        </x:is>
      </x:c>
    </x:row>
    <x:row r="60" ht="15.75" customHeight="1">
      <x:c r="A60" s="16" t="s">
        <x:v>169</x:v>
      </x:c>
      <x:c r="B60" s="17" t="s">
        <x:v>170</x:v>
      </x:c>
      <x:c r="C60" s="24" t="str">
        <x:v>🔄 In Progress</x:v>
      </x:c>
      <x:c r="D60" s="19" t="str">
        <x:v>Registration now records append-only age attestation plus versioned Terms and Privacy acceptance in one transaction. Entry UI and identity/age verification remain pending.</x:v>
      </x:c>
    </x:row>
    <x:row r="61" ht="15.75" customHeight="1">
      <x:c r="A61" s="20" t="s">
        <x:v>171</x:v>
      </x:c>
      <x:c r="B61" s="21" t="s">
        <x:v>172</x:v>
      </x:c>
      <x:c r="C61" s="24" t="s">
        <x:v>7</x:v>
      </x:c>
      <x:c r="D61" s="22" t="str">
        <x:v>User.emailVerifiedAt groundwork exists. Verification tokens, Mailpit/mailer abstraction, delivery, and enforcement begin in Phase 3 slice 2.</x:v>
      </x:c>
    </x:row>
    <x:row r="62" ht="15.75" customHeight="1">
      <x:c r="A62" s="16" t="s">
        <x:v>173</x:v>
      </x:c>
      <x:c r="B62" s="17" t="s">
        <x:v>174</x:v>
      </x:c>
      <x:c r="C62" s="24" t="s">
        <x:v>7</x:v>
      </x:c>
      <x:c r="D62" s="19" t="str">
        <x:v>Planned for Phase 3 slice 2 with the same mailer abstraction; no reset-token flow exists yet.</x:v>
      </x:c>
    </x:row>
    <x:row r="63" ht="27.75" customHeight="1">
      <x:c r="A63" s="15" t="s">
        <x:v>175</x:v>
      </x:c>
      <x:c r="B63" s="2"/>
      <x:c r="C63" s="2"/>
      <x:c r="D63" s="3"/>
    </x:row>
    <x:row r="64" ht="15.75" customHeight="1">
      <x:c r="A64" s="16" t="s">
        <x:v>176</x:v>
      </x:c>
      <x:c r="B64" s="17" t="s">
        <x:v>177</x:v>
      </x:c>
      <x:c r="C64" s="18" t="s">
        <x:v>6</x:v>
      </x:c>
      <x:c r="D64" s="19" t="s">
        <x:v>178</x:v>
      </x:c>
    </x:row>
    <x:row r="65" ht="15.75" customHeight="1">
      <x:c r="A65" s="20" t="s">
        <x:v>179</x:v>
      </x:c>
      <x:c r="B65" s="21" t="s">
        <x:v>180</x:v>
      </x:c>
      <x:c r="C65" s="23" t="s">
        <x:v>8</x:v>
      </x:c>
      <x:c r="D65" s="22" t="s">
        <x:v>181</x:v>
      </x:c>
    </x:row>
    <x:row r="66" ht="15.75" customHeight="1">
      <x:c r="A66" s="16" t="s">
        <x:v>182</x:v>
      </x:c>
      <x:c r="B66" s="17" t="s">
        <x:v>183</x:v>
      </x:c>
      <x:c r="C66" s="23" t="s">
        <x:v>8</x:v>
      </x:c>
      <x:c r="D66" s="19" t="s">
        <x:v>184</x:v>
      </x:c>
    </x:row>
    <x:row r="67" ht="15.75" customHeight="1">
      <x:c r="A67" s="20" t="s">
        <x:v>185</x:v>
      </x:c>
      <x:c r="B67" s="21" t="s">
        <x:v>186</x:v>
      </x:c>
      <x:c r="C67" s="18" t="s">
        <x:v>6</x:v>
      </x:c>
      <x:c r="D67" s="22" t="s">
        <x:v>187</x:v>
      </x:c>
    </x:row>
    <x:row r="68" ht="15.75" customHeight="1">
      <x:c r="A68" s="16" t="s">
        <x:v>188</x:v>
      </x:c>
      <x:c r="B68" s="17" t="s">
        <x:v>189</x:v>
      </x:c>
      <x:c r="C68" s="23" t="s">
        <x:v>8</x:v>
      </x:c>
      <x:c r="D68" s="19" t="s">
        <x:v>190</x:v>
      </x:c>
    </x:row>
    <x:row r="69" ht="15.75" customHeight="1">
      <x:c r="A69" s="20" t="s">
        <x:v>191</x:v>
      </x:c>
      <x:c r="B69" s="21" t="s">
        <x:v>192</x:v>
      </x:c>
      <x:c r="C69" s="23" t="s">
        <x:v>8</x:v>
      </x:c>
      <x:c r="D69" s="22" t="s">
        <x:v>193</x:v>
      </x:c>
    </x:row>
    <x:row r="70" ht="15.75" customHeight="1">
      <x:c r="A70" s="16" t="s">
        <x:v>194</x:v>
      </x:c>
      <x:c r="B70" s="17" t="s">
        <x:v>195</x:v>
      </x:c>
      <x:c r="C70" s="18" t="s">
        <x:v>6</x:v>
      </x:c>
      <x:c r="D70" s="19" t="s">
        <x:v>196</x:v>
      </x:c>
    </x:row>
    <x:row r="71" ht="15.75" customHeight="1">
      <x:c r="A71" s="20" t="s">
        <x:v>197</x:v>
      </x:c>
      <x:c r="B71" s="21" t="s">
        <x:v>198</x:v>
      </x:c>
      <x:c r="C71" s="23" t="inlineStr">
        <x:is>
          <x:t xml:space="preserve">🔄 In Progress</x:t>
        </x:is>
      </x:c>
      <x:c r="D71" s="19" t="inlineStr">
        <x:is>
          <x:t xml:space="preserve">Locked preview UI exists; backend entitlement and protected media delivery remain.</x:t>
        </x:is>
      </x:c>
    </x:row>
    <x:row r="72" ht="15.75" customHeight="1">
      <x:c r="A72" s="16" t="s">
        <x:v>199</x:v>
      </x:c>
      <x:c r="B72" s="17" t="s">
        <x:v>200</x:v>
      </x:c>
      <x:c r="C72" s="23" t="inlineStr">
        <x:is>
          <x:t xml:space="preserve">🔄 In Progress</x:t>
        </x:is>
      </x:c>
      <x:c r="D72" s="19" t="inlineStr">
        <x:is>
          <x:t xml:space="preserve">Tier visuals exist. Launch tiers will be standardized; exact rules and backend enforcement remain.</x:t>
        </x:is>
      </x:c>
    </x:row>
    <x:row r="73" ht="15.75" customHeight="1">
      <x:c r="A73" s="20" t="s">
        <x:v>201</x:v>
      </x:c>
      <x:c r="B73" s="21" t="s">
        <x:v>202</x:v>
      </x:c>
      <x:c r="C73" s="23" t="s">
        <x:v>8</x:v>
      </x:c>
      <x:c r="D73" s="19" t="inlineStr">
        <x:is>
          <x:t xml:space="preserve">Launch-critical. UI prototype exists. Target four noticeable YouTube-like medium thumbnails on common large desktops, with more columns on wider screens.</x:t>
        </x:is>
      </x:c>
    </x:row>
    <x:row r="74" ht="15.75" customHeight="1">
      <x:c r="A74" s="16" t="s">
        <x:v>203</x:v>
      </x:c>
      <x:c r="B74" s="17" t="s">
        <x:v>204</x:v>
      </x:c>
      <x:c r="C74" s="23" t="s">
        <x:v>8</x:v>
      </x:c>
      <x:c r="D74" s="22" t="inlineStr">
        <x:is>
          <x:t xml:space="preserve">Launch-critical. UI prototype exists. Requires service configuration, availability, Veso booking, cancellation, reviews, and disputes.</x:t>
        </x:is>
      </x:c>
    </x:row>
    <x:row r="75" ht="15.75" customHeight="1">
      <x:c r="A75" s="20" t="s">
        <x:v>205</x:v>
      </x:c>
      <x:c r="B75" s="17" t="inlineStr">
        <x:is>
          <x:t xml:space="preserve">Real-time direct messaging using authenticated WebSockets. Advanced group/chat features remain post-MVP.</x:t>
        </x:is>
      </x:c>
      <x:c r="C75" s="23" t="inlineStr">
        <x:is>
          <x:t xml:space="preserve">🔄 In Progress</x:t>
        </x:is>
      </x:c>
      <x:c r="D75" s="19" t="inlineStr">
        <x:is>
          <x:t xml:space="preserve">Chat UI prototype exists. Persistence, WebSocket authorization, reconnect, read state, reporting, and rate limits are pending.</x:t>
        </x:is>
      </x:c>
    </x:row>
    <x:row r="76" ht="15.75" customHeight="1">
      <x:c r="A76" s="16" t="s">
        <x:v>206</x:v>
      </x:c>
      <x:c r="B76" s="17" t="s">
        <x:v>207</x:v>
      </x:c>
      <x:c r="C76" s="23" t="inlineStr">
        <x:is>
          <x:t xml:space="preserve">🔄 In Progress</x:t>
        </x:is>
      </x:c>
      <x:c r="D76" s="22" t="inlineStr">
        <x:is>
          <x:t xml:space="preserve">Wallet UI prototype exists. Add/recharge Veso needs an E-Pal Buff-inspired design plus real ledger/payment integration.</x:t>
        </x:is>
      </x:c>
    </x:row>
    <x:row r="77" ht="15.75" customHeight="1">
      <x:c r="A77" s="20" t="s">
        <x:v>208</x:v>
      </x:c>
      <x:c r="B77" s="17" t="inlineStr">
        <x:is>
          <x:t xml:space="preserve">User preference to hide or show explicit 18+ content across onboarding, Settings, feeds, search, Store, and Connect. Default hidden.</x:t>
        </x:is>
      </x:c>
      <x:c r="C77" s="24" t="s">
        <x:v>7</x:v>
      </x:c>
      <x:c r="D77" s="19" t="inlineStr">
        <x:is>
          <x:t xml:space="preserve">Launch-critical and separate from age verification. Preference must be enforced by APIs and queries, not only CSS.</x:t>
        </x:is>
      </x:c>
    </x:row>
    <x:row r="78" ht="15.75" customHeight="1">
      <x:c r="A78" s="16" t="s">
        <x:v>209</x:v>
      </x:c>
      <x:c r="B78" s="17" t="s">
        <x:v>210</x:v>
      </x:c>
      <x:c r="C78" s="24" t="s">
        <x:v>7</x:v>
      </x:c>
      <x:c r="D78" s="19" t="s">
        <x:v>211</x:v>
      </x:c>
    </x:row>
    <x:row r="79" ht="15.75" customHeight="1">
      <x:c r="A79" s="20" t="s">
        <x:v>212</x:v>
      </x:c>
      <x:c r="B79" s="21" t="s">
        <x:v>213</x:v>
      </x:c>
      <x:c r="C79" s="24" t="s">
        <x:v>7</x:v>
      </x:c>
      <x:c r="D79" s="22" t="s">
        <x:v>214</x:v>
      </x:c>
    </x:row>
    <x:row r="80" ht="15.75" customHeight="1">
      <x:c r="A80" s="16" t="s">
        <x:v>215</x:v>
      </x:c>
      <x:c r="B80" s="17" t="s">
        <x:v>216</x:v>
      </x:c>
      <x:c r="C80" s="24" t="s">
        <x:v>7</x:v>
      </x:c>
      <x:c r="D80" s="19" t="s">
        <x:v>217</x:v>
      </x:c>
    </x:row>
    <x:row r="81" ht="15.75" customHeight="1">
      <x:c r="A81" s="20" t="s">
        <x:v>218</x:v>
      </x:c>
      <x:c r="B81" s="21" t="s">
        <x:v>219</x:v>
      </x:c>
      <x:c r="C81" s="18" t="s">
        <x:v>6</x:v>
      </x:c>
      <x:c r="D81" s="22" t="s">
        <x:v>220</x:v>
      </x:c>
    </x:row>
    <x:row r="82" ht="15.75" customHeight="1">
      <x:c r="A82" s="16" t="s">
        <x:v>221</x:v>
      </x:c>
      <x:c r="B82" s="17" t="s">
        <x:v>222</x:v>
      </x:c>
      <x:c r="C82" s="18" t="s">
        <x:v>6</x:v>
      </x:c>
      <x:c r="D82" s="19" t="s">
        <x:v>223</x:v>
      </x:c>
    </x:row>
    <x:row r="83" ht="15.75" customHeight="1">
      <x:c r="A83" s="20" t="s">
        <x:v>224</x:v>
      </x:c>
      <x:c r="B83" s="21" t="s">
        <x:v>225</x:v>
      </x:c>
      <x:c r="C83" s="18" t="s">
        <x:v>6</x:v>
      </x:c>
      <x:c r="D83" s="22" t="s">
        <x:v>226</x:v>
      </x:c>
    </x:row>
    <x:row r="84" ht="30.75" customHeight="1">
      <x:c r="A84" s="16" t="s">
        <x:v>227</x:v>
      </x:c>
      <x:c r="B84" s="17" t="s">
        <x:v>228</x:v>
      </x:c>
      <x:c r="C84" s="23" t="inlineStr">
        <x:is>
          <x:t xml:space="preserve">🔄 In Progress</x:t>
        </x:is>
      </x:c>
      <x:c r="D84" s="22" t="inlineStr">
        <x:is>
          <x:t xml:space="preserve">Large UI prototype exists. Backend data, actions, reconciliation, and tests remain. Live Streaming stays disabled post-MVP.</x:t>
        </x:is>
      </x:c>
    </x:row>
    <x:row r="85" ht="18.75" customHeight="1">
      <x:c r="A85" s="25" t="s">
        <x:v>229</x:v>
      </x:c>
      <x:c r="B85" s="26" t="s">
        <x:v>230</x:v>
      </x:c>
      <x:c r="C85" s="18" t="s">
        <x:v>6</x:v>
      </x:c>
      <x:c r="D85" s="27" t="s">
        <x:v>231</x:v>
      </x:c>
    </x:row>
    <x:row r="86" ht="15.75" customHeight="1">
      <x:c r="A86" s="15" t="s">
        <x:v>232</x:v>
      </x:c>
      <x:c r="B86" s="2"/>
      <x:c r="C86" s="2"/>
      <x:c r="D86" s="3"/>
    </x:row>
    <x:row r="87" ht="15.75" customHeight="1">
      <x:c r="A87" s="16" t="s">
        <x:v>233</x:v>
      </x:c>
      <x:c r="B87" s="17" t="s">
        <x:v>234</x:v>
      </x:c>
      <x:c r="C87" s="24" t="s">
        <x:v>7</x:v>
      </x:c>
      <x:c r="D87" s="19" t="s">
        <x:v>235</x:v>
      </x:c>
    </x:row>
    <x:row r="88" ht="15.75" customHeight="1">
      <x:c r="A88" s="20" t="s">
        <x:v>236</x:v>
      </x:c>
      <x:c r="B88" s="21" t="s">
        <x:v>237</x:v>
      </x:c>
      <x:c r="C88" s="24" t="s">
        <x:v>7</x:v>
      </x:c>
      <x:c r="D88" s="22" t="s">
        <x:v>238</x:v>
      </x:c>
    </x:row>
    <x:row r="89" ht="15.75" customHeight="1">
      <x:c r="A89" s="16" t="s">
        <x:v>239</x:v>
      </x:c>
      <x:c r="B89" s="17" t="s">
        <x:v>240</x:v>
      </x:c>
      <x:c r="C89" s="24" t="s">
        <x:v>7</x:v>
      </x:c>
      <x:c r="D89" s="19" t="s">
        <x:v>241</x:v>
      </x:c>
    </x:row>
    <x:row r="90" ht="15.75" customHeight="1">
      <x:c r="A90" s="20" t="s">
        <x:v>242</x:v>
      </x:c>
      <x:c r="B90" s="21" t="s">
        <x:v>243</x:v>
      </x:c>
      <x:c r="C90" s="24" t="s">
        <x:v>7</x:v>
      </x:c>
      <x:c r="D90" s="22" t="s">
        <x:v>244</x:v>
      </x:c>
    </x:row>
    <x:row r="91" ht="15.75" customHeight="1">
      <x:c r="A91" s="16" t="s">
        <x:v>245</x:v>
      </x:c>
      <x:c r="B91" s="17" t="s">
        <x:v>246</x:v>
      </x:c>
      <x:c r="C91" s="24" t="s">
        <x:v>7</x:v>
      </x:c>
      <x:c r="D91" s="19" t="s">
        <x:v>247</x:v>
      </x:c>
    </x:row>
    <x:row r="92" ht="27.75" customHeight="1">
      <x:c r="A92" s="28" t="s">
        <x:v>248</x:v>
      </x:c>
      <x:c r="B92" s="29" t="s">
        <x:v>249</x:v>
      </x:c>
      <x:c r="C92" s="30" t="s">
        <x:v>7</x:v>
      </x:c>
      <x:c r="D92" s="31" t="s">
        <x:v>250</x:v>
      </x:c>
    </x:row>
    <x:row r="93" ht="15.75" customHeight="1">
      <x:c r="A93" s="15" t="s">
        <x:v>251</x:v>
      </x:c>
      <x:c r="B93" s="2"/>
      <x:c r="C93" s="2"/>
      <x:c r="D93" s="3"/>
    </x:row>
    <x:row r="94" ht="15.75" customHeight="1">
      <x:c r="A94" s="32" t="s">
        <x:v>252</x:v>
      </x:c>
      <x:c r="B94" s="33" t="s">
        <x:v>253</x:v>
      </x:c>
      <x:c r="C94" s="24" t="inlineStr">
        <x:is>
          <x:t xml:space="preserve">📋 Not Started</x:t>
        </x:is>
      </x:c>
      <x:c r="D94" s="22" t="inlineStr">
        <x:is>
          <x:t xml:space="preserve">Processor selected, but merchant application and API/webhook integration have not started.</x:t>
        </x:is>
      </x:c>
    </x:row>
    <x:row r="95" ht="15.75" customHeight="1">
      <x:c r="A95" s="20" t="s">
        <x:v>254</x:v>
      </x:c>
      <x:c r="B95" s="21" t="s">
        <x:v>255</x:v>
      </x:c>
      <x:c r="C95" s="24" t="inlineStr">
        <x:is>
          <x:t xml:space="preserve">📋 Not Started</x:t>
        </x:is>
      </x:c>
      <x:c r="D95" s="19" t="inlineStr">
        <x:is>
          <x:t xml:space="preserve">Fallback provider selected, but application and technical integration have not started.</x:t>
        </x:is>
      </x:c>
    </x:row>
    <x:row r="96" ht="15.75" customHeight="1">
      <x:c r="A96" s="16" t="s">
        <x:v>256</x:v>
      </x:c>
      <x:c r="B96" s="17" t="s">
        <x:v>257</x:v>
      </x:c>
      <x:c r="C96" s="24" t="s">
        <x:v>7</x:v>
      </x:c>
      <x:c r="D96" s="22" t="inlineStr">
        <x:is>
          <x:t xml:space="preserve">Do not implement until CCBill and Epoch confirm the account-specific cascade design in writing.</x:t>
        </x:is>
      </x:c>
    </x:row>
    <x:row r="97" ht="15.75" customHeight="1">
      <x:c r="A97" s="20" t="s">
        <x:v>258</x:v>
      </x:c>
      <x:c r="B97" s="21" t="s">
        <x:v>259</x:v>
      </x:c>
      <x:c r="C97" s="24" t="s">
        <x:v>7</x:v>
      </x:c>
      <x:c r="D97" s="22" t="s">
        <x:v>260</x:v>
      </x:c>
    </x:row>
    <x:row r="98" ht="15.75" customHeight="1">
      <x:c r="A98" s="16" t="s">
        <x:v>261</x:v>
      </x:c>
      <x:c r="B98" s="17" t="s">
        <x:v>262</x:v>
      </x:c>
      <x:c r="C98" s="24" t="s">
        <x:v>7</x:v>
      </x:c>
      <x:c r="D98" s="19" t="s">
        <x:v>263</x:v>
      </x:c>
    </x:row>
    <x:row r="99" ht="15.75" customHeight="1">
      <x:c r="A99" s="20" t="s">
        <x:v>264</x:v>
      </x:c>
      <x:c r="B99" s="21" t="s">
        <x:v>265</x:v>
      </x:c>
      <x:c r="C99" s="24" t="s">
        <x:v>7</x:v>
      </x:c>
      <x:c r="D99" s="22" t="s">
        <x:v>266</x:v>
      </x:c>
    </x:row>
    <x:row r="100" ht="15.75" customHeight="1">
      <x:c r="A100" s="16" t="s">
        <x:v>267</x:v>
      </x:c>
      <x:c r="B100" s="17" t="s">
        <x:v>268</x:v>
      </x:c>
      <x:c r="C100" s="24" t="s">
        <x:v>7</x:v>
      </x:c>
      <x:c r="D100" s="19" t="s">
        <x:v>269</x:v>
      </x:c>
    </x:row>
    <x:row r="101" ht="15.75" customHeight="1">
      <x:c r="A101" s="20" t="s">
        <x:v>270</x:v>
      </x:c>
      <x:c r="B101" s="21" t="s">
        <x:v>271</x:v>
      </x:c>
      <x:c r="C101" s="23" t="inlineStr">
        <x:is>
          <x:t xml:space="preserve">🔄 In Progress</x:t>
        </x:is>
      </x:c>
      <x:c r="D101" s="19" t="inlineStr">
        <x:is>
          <x:t xml:space="preserve">Direction locked: prepaid credits, 1 Veso = 1 USD. Refund, transfer, expiration, promotional credit, and ledger policies remain.</x:t>
        </x:is>
      </x:c>
    </x:row>
    <x:row r="102" ht="15.75" customHeight="1">
      <x:c r="A102" s="16" t="s">
        <x:v>272</x:v>
      </x:c>
      <x:c r="B102" s="17" t="s">
        <x:v>273</x:v>
      </x:c>
      <x:c r="C102" s="24" t="s">
        <x:v>7</x:v>
      </x:c>
      <x:c r="D102" s="22" t="inlineStr">
        <x:is>
          <x:t xml:space="preserve">Founder decision pending. Model 20/25/30% platform fees against actual processor fees before promising a creator split.</x:t>
        </x:is>
      </x:c>
    </x:row>
    <x:row r="103" ht="15.75" customHeight="1">
      <x:c r="A103" s="20" t="s">
        <x:v>274</x:v>
      </x:c>
      <x:c r="B103" s="21" t="s">
        <x:v>275</x:v>
      </x:c>
      <x:c r="C103" s="24" t="s">
        <x:v>7</x:v>
      </x:c>
      <x:c r="D103" s="22" t="s">
        <x:v>276</x:v>
      </x:c>
    </x:row>
    <x:row r="104" ht="27.75" customHeight="1">
      <x:c r="A104" s="36" t="s">
        <x:v>277</x:v>
      </x:c>
      <x:c r="B104" s="37" t="s">
        <x:v>278</x:v>
      </x:c>
      <x:c r="C104" s="30" t="s">
        <x:v>7</x:v>
      </x:c>
      <x:c r="D104" s="38" t="s">
        <x:v>279</x:v>
      </x:c>
    </x:row>
    <x:row r="105" ht="15.75" customHeight="1">
      <x:c r="A105" s="15" t="s">
        <x:v>280</x:v>
      </x:c>
      <x:c r="B105" s="2"/>
      <x:c r="C105" s="2"/>
      <x:c r="D105" s="3"/>
    </x:row>
    <x:row r="106" ht="15.75" customHeight="1">
      <x:c r="A106" s="32" t="s">
        <x:v>281</x:v>
      </x:c>
      <x:c r="B106" s="33" t="s">
        <x:v>282</x:v>
      </x:c>
      <x:c r="C106" s="39" t="s">
        <x:v>7</x:v>
      </x:c>
      <x:c r="D106" s="35" t="s">
        <x:v>283</x:v>
      </x:c>
    </x:row>
    <x:row r="107" ht="15.75" customHeight="1">
      <x:c r="A107" s="20" t="s">
        <x:v>284</x:v>
      </x:c>
      <x:c r="B107" s="21" t="s">
        <x:v>285</x:v>
      </x:c>
      <x:c r="C107" s="24" t="s">
        <x:v>7</x:v>
      </x:c>
      <x:c r="D107" s="22" t="s">
        <x:v>286</x:v>
      </x:c>
    </x:row>
    <x:row r="108" ht="15.75" customHeight="1">
      <x:c r="A108" s="16" t="s">
        <x:v>287</x:v>
      </x:c>
      <x:c r="B108" s="17" t="s">
        <x:v>288</x:v>
      </x:c>
      <x:c r="C108" s="24" t="s">
        <x:v>7</x:v>
      </x:c>
      <x:c r="D108" s="19" t="s">
        <x:v>289</x:v>
      </x:c>
    </x:row>
    <x:row r="109" ht="15.75" customHeight="1">
      <x:c r="A109" s="20" t="s">
        <x:v>290</x:v>
      </x:c>
      <x:c r="B109" s="21" t="s">
        <x:v>291</x:v>
      </x:c>
      <x:c r="C109" s="24" t="s">
        <x:v>7</x:v>
      </x:c>
      <x:c r="D109" s="22" t="s">
        <x:v>292</x:v>
      </x:c>
    </x:row>
    <x:row r="110" ht="15.75" customHeight="1">
      <x:c r="A110" s="16" t="s">
        <x:v>293</x:v>
      </x:c>
      <x:c r="B110" s="17" t="s">
        <x:v>294</x:v>
      </x:c>
      <x:c r="C110" s="24" t="s">
        <x:v>7</x:v>
      </x:c>
      <x:c r="D110" s="19" t="s">
        <x:v>295</x:v>
      </x:c>
    </x:row>
    <x:row r="111" ht="15.75" customHeight="1">
      <x:c r="A111" s="20" t="s">
        <x:v>296</x:v>
      </x:c>
      <x:c r="B111" s="21" t="s">
        <x:v>297</x:v>
      </x:c>
      <x:c r="C111" s="24" t="s">
        <x:v>7</x:v>
      </x:c>
      <x:c r="D111" s="22" t="s">
        <x:v>298</x:v>
      </x:c>
    </x:row>
    <x:row r="112" ht="15.75" customHeight="1">
      <x:c r="A112" s="16" t="s">
        <x:v>299</x:v>
      </x:c>
      <x:c r="B112" s="17" t="s">
        <x:v>300</x:v>
      </x:c>
      <x:c r="C112" s="24" t="s">
        <x:v>7</x:v>
      </x:c>
      <x:c r="D112" s="19" t="s">
        <x:v>301</x:v>
      </x:c>
    </x:row>
    <x:row r="113" ht="15.75" customHeight="1">
      <x:c r="A113" s="20" t="s">
        <x:v>302</x:v>
      </x:c>
      <x:c r="B113" s="21" t="s">
        <x:v>303</x:v>
      </x:c>
      <x:c r="C113" s="24" t="s">
        <x:v>7</x:v>
      </x:c>
      <x:c r="D113" s="22" t="s">
        <x:v>304</x:v>
      </x:c>
    </x:row>
    <x:row r="114" ht="15.75" customHeight="1">
      <x:c r="A114" s="16" t="s">
        <x:v>305</x:v>
      </x:c>
      <x:c r="B114" s="17" t="s">
        <x:v>306</x:v>
      </x:c>
      <x:c r="C114" s="24" t="s">
        <x:v>7</x:v>
      </x:c>
      <x:c r="D114" s="19" t="s">
        <x:v>307</x:v>
      </x:c>
    </x:row>
    <x:row r="115" ht="15.75" customHeight="1">
      <x:c r="A115" s="20" t="s">
        <x:v>308</x:v>
      </x:c>
      <x:c r="B115" s="21" t="s">
        <x:v>309</x:v>
      </x:c>
      <x:c r="C115" s="24" t="s">
        <x:v>7</x:v>
      </x:c>
      <x:c r="D115" s="22" t="s">
        <x:v>310</x:v>
      </x:c>
    </x:row>
    <x:row r="116" ht="15.75" customHeight="1">
      <x:c r="A116" s="16" t="s">
        <x:v>311</x:v>
      </x:c>
      <x:c r="B116" s="17" t="s">
        <x:v>312</x:v>
      </x:c>
      <x:c r="C116" s="24" t="s">
        <x:v>7</x:v>
      </x:c>
      <x:c r="D116" s="19" t="s">
        <x:v>313</x:v>
      </x:c>
    </x:row>
    <x:row r="117" ht="15.75" customHeight="1">
      <x:c r="A117" s="20" t="s">
        <x:v>314</x:v>
      </x:c>
      <x:c r="B117" s="21" t="s">
        <x:v>315</x:v>
      </x:c>
      <x:c r="C117" s="24" t="s">
        <x:v>7</x:v>
      </x:c>
      <x:c r="D117" s="22" t="s">
        <x:v>316</x:v>
      </x:c>
    </x:row>
    <x:row r="118" ht="27.75" customHeight="1">
      <x:c r="A118" s="36" t="s">
        <x:v>317</x:v>
      </x:c>
      <x:c r="B118" s="37" t="s">
        <x:v>318</x:v>
      </x:c>
      <x:c r="C118" s="30" t="s">
        <x:v>7</x:v>
      </x:c>
      <x:c r="D118" s="38" t="s">
        <x:v>319</x:v>
      </x:c>
    </x:row>
    <x:row r="119" ht="15.75" customHeight="1">
      <x:c r="A119" s="15" t="s">
        <x:v>320</x:v>
      </x:c>
      <x:c r="B119" s="2"/>
      <x:c r="C119" s="2"/>
      <x:c r="D119" s="3"/>
    </x:row>
    <x:row r="120" ht="15.75" customHeight="1">
      <x:c r="A120" s="32" t="s">
        <x:v>321</x:v>
      </x:c>
      <x:c r="B120" s="33" t="s">
        <x:v>322</x:v>
      </x:c>
      <x:c r="C120" s="39" t="s">
        <x:v>7</x:v>
      </x:c>
      <x:c r="D120" s="35" t="s">
        <x:v>38</x:v>
      </x:c>
    </x:row>
    <x:row r="121" ht="15.75" customHeight="1">
      <x:c r="A121" s="20" t="s">
        <x:v>323</x:v>
      </x:c>
      <x:c r="B121" s="21" t="s">
        <x:v>324</x:v>
      </x:c>
      <x:c r="C121" s="24" t="s">
        <x:v>7</x:v>
      </x:c>
      <x:c r="D121" s="22" t="s">
        <x:v>325</x:v>
      </x:c>
    </x:row>
    <x:row r="122" ht="15.75" customHeight="1">
      <x:c r="A122" s="16" t="s">
        <x:v>326</x:v>
      </x:c>
      <x:c r="B122" s="17" t="s">
        <x:v>327</x:v>
      </x:c>
      <x:c r="C122" s="24" t="s">
        <x:v>7</x:v>
      </x:c>
      <x:c r="D122" s="19" t="s">
        <x:v>328</x:v>
      </x:c>
    </x:row>
    <x:row r="123" ht="15.75" customHeight="1">
      <x:c r="A123" s="20" t="s">
        <x:v>329</x:v>
      </x:c>
      <x:c r="B123" s="21" t="s">
        <x:v>330</x:v>
      </x:c>
      <x:c r="C123" s="24" t="s">
        <x:v>7</x:v>
      </x:c>
      <x:c r="D123" s="22" t="s">
        <x:v>331</x:v>
      </x:c>
    </x:row>
    <x:row r="124" ht="27.75" customHeight="1">
      <x:c r="A124" s="36" t="s">
        <x:v>332</x:v>
      </x:c>
      <x:c r="B124" s="37" t="s">
        <x:v>333</x:v>
      </x:c>
      <x:c r="C124" s="30" t="s">
        <x:v>7</x:v>
      </x:c>
      <x:c r="D124" s="22" t="inlineStr">
        <x:is>
          <x:t xml:space="preserve">Provider undecided. Evaluate Amazon SES first, confirm adult-business support, and use .example addresses until real mailboxes exist.</x:t>
        </x:is>
      </x:c>
    </x:row>
    <x:row r="125" ht="15.75" customHeight="1">
      <x:c r="A125" s="15" t="s">
        <x:v>334</x:v>
      </x:c>
      <x:c r="B125" s="2"/>
      <x:c r="C125" s="2"/>
      <x:c r="D125" s="3"/>
    </x:row>
    <x:row r="126" ht="15.75" customHeight="1">
      <x:c r="A126" s="32" t="s">
        <x:v>335</x:v>
      </x:c>
      <x:c r="B126" s="33" t="s">
        <x:v>336</x:v>
      </x:c>
      <x:c r="C126" s="39" t="s">
        <x:v>7</x:v>
      </x:c>
      <x:c r="D126" s="35" t="s">
        <x:v>337</x:v>
      </x:c>
    </x:row>
    <x:row r="127" ht="15.75" customHeight="1">
      <x:c r="A127" s="20" t="s">
        <x:v>338</x:v>
      </x:c>
      <x:c r="B127" s="21" t="s">
        <x:v>339</x:v>
      </x:c>
      <x:c r="C127" s="24" t="s">
        <x:v>7</x:v>
      </x:c>
      <x:c r="D127" s="22" t="s">
        <x:v>340</x:v>
      </x:c>
    </x:row>
    <x:row r="128" ht="15.75" customHeight="1">
      <x:c r="A128" s="16" t="s">
        <x:v>341</x:v>
      </x:c>
      <x:c r="B128" s="17" t="s">
        <x:v>342</x:v>
      </x:c>
      <x:c r="C128" s="24" t="s">
        <x:v>7</x:v>
      </x:c>
      <x:c r="D128" s="19" t="s">
        <x:v>343</x:v>
      </x:c>
    </x:row>
    <x:row r="129" ht="15.75" customHeight="1">
      <x:c r="A129" s="20" t="s">
        <x:v>344</x:v>
      </x:c>
      <x:c r="B129" s="21" t="s">
        <x:v>345</x:v>
      </x:c>
      <x:c r="C129" s="24" t="s">
        <x:v>7</x:v>
      </x:c>
      <x:c r="D129" s="22" t="s">
        <x:v>346</x:v>
      </x:c>
    </x:row>
    <x:row r="130" ht="15.75" customHeight="1">
      <x:c r="A130" s="16" t="s">
        <x:v>347</x:v>
      </x:c>
      <x:c r="B130" s="17" t="s">
        <x:v>348</x:v>
      </x:c>
      <x:c r="C130" s="24" t="s">
        <x:v>7</x:v>
      </x:c>
      <x:c r="D130" s="19" t="s">
        <x:v>349</x:v>
      </x:c>
    </x:row>
    <x:row r="131" ht="15" customHeight="1">
      <x:c r="A131" s="20" t="s">
        <x:v>350</x:v>
      </x:c>
      <x:c r="B131" s="21" t="s">
        <x:v>351</x:v>
      </x:c>
      <x:c r="C131" s="24" t="s">
        <x:v>7</x:v>
      </x:c>
      <x:c r="D131" s="22" t="s">
        <x:v>352</x:v>
      </x:c>
    </x:row>
    <x:row r="132" ht="15.75" customHeight="1">
      <x:c r="A132" s="40" t="s">
        <x:v>353</x:v>
      </x:c>
      <x:c r="B132" s="41" t="s">
        <x:v>354</x:v>
      </x:c>
      <x:c r="C132" s="42" t="s">
        <x:v>8</x:v>
      </x:c>
      <x:c r="D132" s="43" t="s">
        <x:v>349</x:v>
      </x:c>
    </x:row>
    <x:row r="133" ht="15.75" customHeight="1">
      <x:c r="A133" s="15" t="s">
        <x:v>355</x:v>
      </x:c>
      <x:c r="B133" s="2"/>
      <x:c r="C133" s="2"/>
      <x:c r="D133" s="3"/>
    </x:row>
    <x:row r="134" ht="15.75" customHeight="1">
      <x:c r="A134" s="32" t="s">
        <x:v>356</x:v>
      </x:c>
      <x:c r="B134" s="33" t="s">
        <x:v>357</x:v>
      </x:c>
      <x:c r="C134" s="44" t="s">
        <x:v>8</x:v>
      </x:c>
      <x:c r="D134" s="35" t="s">
        <x:v>358</x:v>
      </x:c>
    </x:row>
    <x:row r="135" ht="15.75" customHeight="1">
      <x:c r="A135" s="20" t="s">
        <x:v>359</x:v>
      </x:c>
      <x:c r="B135" s="21" t="s">
        <x:v>360</x:v>
      </x:c>
      <x:c r="C135" s="24" t="s">
        <x:v>7</x:v>
      </x:c>
      <x:c r="D135" s="22" t="s">
        <x:v>361</x:v>
      </x:c>
    </x:row>
    <x:row r="136" ht="15.75" customHeight="1">
      <x:c r="A136" s="16" t="s">
        <x:v>362</x:v>
      </x:c>
      <x:c r="B136" s="17" t="s">
        <x:v>363</x:v>
      </x:c>
      <x:c r="C136" s="24" t="s">
        <x:v>7</x:v>
      </x:c>
      <x:c r="D136" s="19" t="s">
        <x:v>364</x:v>
      </x:c>
    </x:row>
    <x:row r="137" ht="15.75" customHeight="1">
      <x:c r="A137" s="20" t="s">
        <x:v>365</x:v>
      </x:c>
      <x:c r="B137" s="21" t="s">
        <x:v>366</x:v>
      </x:c>
      <x:c r="C137" s="24" t="s">
        <x:v>7</x:v>
      </x:c>
      <x:c r="D137" s="22" t="s">
        <x:v>349</x:v>
      </x:c>
    </x:row>
    <x:row r="138" ht="15.75" customHeight="1">
      <x:c r="A138" s="16" t="s">
        <x:v>367</x:v>
      </x:c>
      <x:c r="B138" s="17" t="s">
        <x:v>368</x:v>
      </x:c>
      <x:c r="C138" s="24" t="s">
        <x:v>7</x:v>
      </x:c>
      <x:c r="D138" s="19" t="s">
        <x:v>369</x:v>
      </x:c>
    </x:row>
    <x:row r="139" ht="15.75" customHeight="1">
      <x:c r="A139" s="20" t="s">
        <x:v>370</x:v>
      </x:c>
      <x:c r="B139" s="21" t="s">
        <x:v>371</x:v>
      </x:c>
      <x:c r="C139" s="24" t="s">
        <x:v>7</x:v>
      </x:c>
      <x:c r="D139" s="22" t="s">
        <x:v>372</x:v>
      </x:c>
    </x:row>
    <x:row r="140" ht="15.75" customHeight="1">
      <x:c r="A140" s="16" t="s">
        <x:v>373</x:v>
      </x:c>
      <x:c r="B140" s="17" t="s">
        <x:v>374</x:v>
      </x:c>
      <x:c r="C140" s="24" t="s">
        <x:v>7</x:v>
      </x:c>
      <x:c r="D140" s="19" t="s">
        <x:v>375</x:v>
      </x:c>
    </x:row>
    <x:row r="141" ht="15.75" customHeight="1">
      <x:c r="A141" s="20" t="s">
        <x:v>376</x:v>
      </x:c>
      <x:c r="B141" s="21" t="s">
        <x:v>377</x:v>
      </x:c>
      <x:c r="C141" s="24" t="s">
        <x:v>7</x:v>
      </x:c>
      <x:c r="D141" s="22" t="s">
        <x:v>378</x:v>
      </x:c>
    </x:row>
    <x:row r="142" ht="27.75" customHeight="1">
      <x:c r="A142" s="15" t="inlineStr">
        <x:is>
          <x:t xml:space="preserve">🧭  PHASE 13 — June 2026 Scope &amp; Architecture Decisions</x:t>
        </x:is>
      </x:c>
      <x:c r="B142" s="2"/>
      <x:c r="C142" s="2"/>
      <x:c r="D142" s="3"/>
    </x:row>
    <x:row r="143" ht="31.5" customHeight="1">
      <x:c r="A143" s="16" t="inlineStr">
        <x:is>
          <x:t xml:space="preserve">Build Veso recharge UI</x:t>
        </x:is>
      </x:c>
      <x:c r="B143" s="17" t="inlineStr">
        <x:is>
          <x:t xml:space="preserve">Design and implement Add/Recharge Vesos with presets, payment summary, receipt, and transaction history. Visual reference: E-Pal Buff recharge.</x:t>
        </x:is>
      </x:c>
      <x:c r="C143" s="24" t="inlineStr">
        <x:is>
          <x:t xml:space="preserve">📋 Not Started</x:t>
        </x:is>
      </x:c>
      <x:c r="D143" s="19" t="inlineStr">
        <x:is>
          <x:t xml:space="preserve">Launch-critical. 1 Veso = 1 USD.</x:t>
        </x:is>
      </x:c>
    </x:row>
    <x:row r="144" ht="31.5" customHeight="1">
      <x:c r="A144" s="20" t="inlineStr">
        <x:is>
          <x:t xml:space="preserve">Define Veso terms and ledger policies</x:t>
        </x:is>
      </x:c>
      <x:c r="B144" s="21" t="inlineStr">
        <x:is>
          <x:t xml:space="preserve">Define purchased vs promotional Veso, refunds, expiration, transfer, account closure, chargebacks, and creator earnings conversion.</x:t>
        </x:is>
      </x:c>
      <x:c r="C144" s="23" t="inlineStr">
        <x:is>
          <x:t xml:space="preserve">🔄 In Progress</x:t>
        </x:is>
      </x:c>
      <x:c r="D144" s="22" t="inlineStr">
        <x:is>
          <x:t xml:space="preserve">Use E-Pal as product research only; draft independent policies for Pumdoki with processor/legal review.</x:t>
        </x:is>
      </x:c>
    </x:row>
    <x:row r="145" ht="31.5" customHeight="1">
      <x:c r="A145" s="16" t="inlineStr">
        <x:is>
          <x:t xml:space="preserve">Implement tipping / Send Love</x:t>
        </x:is>
      </x:c>
      <x:c r="B145" s="17" t="inlineStr">
        <x:is>
          <x:t xml:space="preserve">Allow members to tip creators using Veso with idempotent ledger transfers and creator pending earnings.</x:t>
        </x:is>
      </x:c>
      <x:c r="C145" s="24" t="inlineStr">
        <x:is>
          <x:t xml:space="preserve">📋 Not Started</x:t>
        </x:is>
      </x:c>
      <x:c r="D145" s="19" t="inlineStr">
        <x:is>
          <x:t xml:space="preserve">Moved from backlog into MVP launch scope.</x:t>
        </x:is>
      </x:c>
    </x:row>
    <x:row r="146" ht="31.5" customHeight="1">
      <x:c r="A146" s="20" t="inlineStr">
        <x:is>
          <x:t xml:space="preserve">Implement PPV purchases</x:t>
        </x:is>
      </x:c>
      <x:c r="B146" s="21" t="inlineStr">
        <x:is>
          <x:t xml:space="preserve">Allow members to unlock individual creator content with Veso and durable entitlement records.</x:t>
        </x:is>
      </x:c>
      <x:c r="C146" s="24" t="inlineStr">
        <x:is>
          <x:t xml:space="preserve">📋 Not Started</x:t>
        </x:is>
      </x:c>
      <x:c r="D146" s="22" t="inlineStr">
        <x:is>
          <x:t xml:space="preserve">Moved from backlog into MVP launch scope.</x:t>
        </x:is>
      </x:c>
    </x:row>
    <x:row r="147" ht="31.5" customHeight="1">
      <x:c r="A147" s="16" t="inlineStr">
        <x:is>
          <x:t xml:space="preserve">Implement real-time WebSocket messaging</x:t>
        </x:is>
      </x:c>
      <x:c r="B147" s="17" t="inlineStr">
        <x:is>
          <x:t xml:space="preserve">Authenticated direct messages with persistence, reconnect, read states, presence, rate limits, block, and report.</x:t>
        </x:is>
      </x:c>
      <x:c r="C147" s="24" t="inlineStr">
        <x:is>
          <x:t xml:space="preserve">📋 Not Started</x:t>
        </x:is>
      </x:c>
      <x:c r="D147" s="19" t="inlineStr">
        <x:is>
          <x:t xml:space="preserve">Basic real-time DMs are launch scope; advanced group/chat features remain post-MVP.</x:t>
        </x:is>
      </x:c>
    </x:row>
    <x:row r="148" ht="31.5" customHeight="1">
      <x:c r="A148" s="20" t="inlineStr">
        <x:is>
          <x:t xml:space="preserve">Complete Store for launch</x:t>
        </x:is>
      </x:c>
      <x:c r="B148" s="21" t="inlineStr">
        <x:is>
          <x:t xml:space="preserve">Connect Store tabs, search, purchase, history, favorites, liked content, filters, and responsive four-card desktop presentation to real data.</x:t>
        </x:is>
      </x:c>
      <x:c r="C148" s="23" t="inlineStr">
        <x:is>
          <x:t xml:space="preserve">🔄 In Progress</x:t>
        </x:is>
      </x:c>
      <x:c r="D148" s="22" t="inlineStr">
        <x:is>
          <x:t xml:space="preserve">UI prototype exists; backend and payment integration remain.</x:t>
        </x:is>
      </x:c>
    </x:row>
    <x:row r="149" ht="31.5" customHeight="1">
      <x:c r="A149" s="16" t="inlineStr">
        <x:is>
          <x:t xml:space="preserve">Complete Connect for launch</x:t>
        </x:is>
      </x:c>
      <x:c r="B149" s="17" t="inlineStr">
        <x:is>
          <x:t xml:space="preserve">Implement service setup, schedules, time zones, Veso booking, confirmations, cancellations, disputes, and reviews.</x:t>
        </x:is>
      </x:c>
      <x:c r="C149" s="23" t="inlineStr">
        <x:is>
          <x:t xml:space="preserve">🔄 In Progress</x:t>
        </x:is>
      </x:c>
      <x:c r="D149" s="19" t="inlineStr">
        <x:is>
          <x:t xml:space="preserve">UI prototype exists; full booking lifecycle remains.</x:t>
        </x:is>
      </x:c>
    </x:row>
    <x:row r="150" ht="31.5" customHeight="1">
      <x:c r="A150" s="20" t="inlineStr">
        <x:is>
          <x:t xml:space="preserve">Complete Oasis / Drimy for launch</x:t>
        </x:is>
      </x:c>
      <x:c r="B150" s="21" t="inlineStr">
        <x:is>
          <x:t xml:space="preserve">Create server-authoritative Drimy ownership, XP, Orbs, tasks, evolution, inventory, achievements, and daily resets.</x:t>
        </x:is>
      </x:c>
      <x:c r="C150" s="23" t="inlineStr">
        <x:is>
          <x:t xml:space="preserve">🔄 In Progress</x:t>
        </x:is>
      </x:c>
      <x:c r="D150" s="22" t="inlineStr">
        <x:is>
          <x:t xml:space="preserve">Moved from post-MVP into launch scope; current page is client-only mock logic.</x:t>
        </x:is>
      </x:c>
    </x:row>
    <x:row r="151" ht="31.5" customHeight="1">
      <x:c r="A151" s="16" t="inlineStr">
        <x:is>
          <x:t xml:space="preserve">Build Oasis collectibles and cosmetics</x:t>
        </x:is>
      </x:c>
      <x:c r="B151" s="17" t="inlineStr">
        <x:is>
          <x:t xml:space="preserve">Create collectible backgrounds, skins, frames, badges, equipped states, fixed-price store items, and reward inventory.</x:t>
        </x:is>
      </x:c>
      <x:c r="C151" s="24" t="inlineStr">
        <x:is>
          <x:t xml:space="preserve">📋 Not Started</x:t>
        </x:is>
      </x:c>
      <x:c r="D151" s="19" t="inlineStr">
        <x:is>
          <x:t xml:space="preserve">Primary objective is daily retention. Paid randomized rewards require separate review.</x:t>
        </x:is>
      </x:c>
    </x:row>
    <x:row r="152" ht="31.5" customHeight="1">
      <x:c r="A152" s="20" t="inlineStr">
        <x:is>
          <x:t xml:space="preserve">Implement explicit-content preference</x:t>
        </x:is>
      </x:c>
      <x:c r="B152" s="21" t="inlineStr">
        <x:is>
          <x:t xml:space="preserve">Add hide/show 18+ content choice to onboarding, Settings, feed, search, Store, and Connect; default hidden.</x:t>
        </x:is>
      </x:c>
      <x:c r="C152" s="24" t="inlineStr">
        <x:is>
          <x:t xml:space="preserve">📋 Not Started</x:t>
        </x:is>
      </x:c>
      <x:c r="D152" s="22" t="inlineStr">
        <x:is>
          <x:t xml:space="preserve">Launch-critical. Does not replace age checks.</x:t>
        </x:is>
      </x:c>
    </x:row>
    <x:row r="153" ht="31.5" customHeight="1">
      <x:c r="A153" s="16" t="inlineStr">
        <x:is>
          <x:t xml:space="preserve">Define international launch allowlist</x:t>
        </x:is>
      </x:c>
      <x:c r="B153" s="17" t="inlineStr">
        <x:is>
          <x:t xml:space="preserve">Enable countries only after payment, payout, identity, adult-content law, privacy, tax, sanctions, and support review.</x:t>
        </x:is>
      </x:c>
      <x:c r="C153" s="24" t="inlineStr">
        <x:is>
          <x:t xml:space="preserve">📋 Not Started</x:t>
        </x:is>
      </x:c>
      <x:c r="D153" s="19" t="inlineStr">
        <x:is>
          <x:t xml:space="preserve">Prioritize USA and selected Latin American countries; phase EU/EEA carefully.</x:t>
        </x:is>
      </x:c>
    </x:row>
    <x:row r="154" ht="31.5" customHeight="1">
      <x:c r="A154" s="20" t="inlineStr">
        <x:is>
          <x:t xml:space="preserve">Support Latin American creator onboarding</x:t>
        </x:is>
      </x:c>
      <x:c r="B154" s="21" t="inlineStr">
        <x:is>
          <x:t xml:space="preserve">Plan Spanish localization, local IDs, tax residency, payout support, time zones, and region-appropriate assistance.</x:t>
        </x:is>
      </x:c>
      <x:c r="C154" s="24" t="inlineStr">
        <x:is>
          <x:t xml:space="preserve">📋 Not Started</x:t>
        </x:is>
      </x:c>
      <x:c r="D154" s="22" t="inlineStr">
        <x:is>
          <x:t xml:space="preserve">Core creator acquisition requirement.</x:t>
        </x:is>
      </x:c>
    </x:row>
    <x:row r="155" ht="31.5" customHeight="1">
      <x:c r="A155" s="16" t="inlineStr">
        <x:is>
          <x:t xml:space="preserve">Select identity verification approach</x:t>
        </x:is>
      </x:c>
      <x:c r="B155" s="17" t="inlineStr">
        <x:is>
          <x:t xml:space="preserve">Compare specialist providers and a tightly controlled manual-beta workflow; design for later provider migration.</x:t>
        </x:is>
      </x:c>
      <x:c r="C155" s="24" t="inlineStr">
        <x:is>
          <x:t xml:space="preserve">📋 Not Started</x:t>
        </x:is>
      </x:c>
      <x:c r="D155" s="19" t="inlineStr">
        <x:is>
          <x:t xml:space="preserve">Manual review requires encrypted isolated storage, strict access, and audit logs.</x:t>
        </x:is>
      </x:c>
    </x:row>
    <x:row r="156" ht="31.5" customHeight="1">
      <x:c r="A156" s="20" t="inlineStr">
        <x:is>
          <x:t xml:space="preserve">Define initial media upload limits</x:t>
        </x:is>
      </x:c>
      <x:c r="B156" s="21" t="inlineStr">
        <x:is>
          <x:t xml:space="preserve">Start with cost-conscious limits and direct R2 uploads; measure beta storage/transcoding cost before raising limits.</x:t>
        </x:is>
      </x:c>
      <x:c r="C156" s="24" t="inlineStr">
        <x:is>
          <x:t xml:space="preserve">📋 Not Started</x:t>
        </x:is>
      </x:c>
      <x:c r="D156" s="22" t="inlineStr">
        <x:is>
          <x:t xml:space="preserve">Provisional: images 20 MB, video 1 GB/30 min, audio 250 MB, ID files 10 MB.</x:t>
        </x:is>
      </x:c>
    </x:row>
    <x:row r="157" ht="31.5" customHeight="1">
      <x:c r="A157" s="16" t="inlineStr">
        <x:is>
          <x:t xml:space="preserve">Select transactional email provider</x:t>
        </x:is>
      </x:c>
      <x:c r="B157" s="17" t="inlineStr">
        <x:is>
          <x:t xml:space="preserve">Evaluate Amazon SES first, verify adult-business support, and implement verification, reset, billing, moderation, and booking mail.</x:t>
        </x:is>
      </x:c>
      <x:c r="C157" s="24" t="inlineStr">
        <x:is>
          <x:t xml:space="preserve">📋 Not Started</x:t>
        </x:is>
      </x:c>
      <x:c r="D157" s="19" t="inlineStr">
        <x:is>
          <x:t xml:space="preserve">Use reserved sample addresses such as support@pumdoki.example until real inboxes exist.</x:t>
        </x:is>
      </x:c>
    </x:row>
    <x:row r="158" ht="31.5" customHeight="1">
      <x:c r="A158" s="20" t="inlineStr">
        <x:is>
          <x:t xml:space="preserve">Choose LLC state and privacy structure</x:t>
        </x:is>
      </x:c>
      <x:c r="B158" s="21" t="inlineStr">
        <x:is>
          <x:t xml:space="preserve">Compare Wyoming and other candidates with an adult-platform attorney and CPA; include registered agent, taxes, and foreign qualification.</x:t>
        </x:is>
      </x:c>
      <x:c r="C158" s="24" t="inlineStr">
        <x:is>
          <x:t xml:space="preserve">📋 Not Started</x:t>
        </x:is>
      </x:c>
      <x:c r="D158" s="22" t="inlineStr">
        <x:is>
          <x:t xml:space="preserve">No entity filed. A no-income-tax state does not by itself remove taxes or disclosure duties elsewhere.</x:t>
        </x:is>
      </x:c>
    </x:row>
    <x:row r="159" ht="31.5" customHeight="1">
      <x:c r="A159" s="16" t="inlineStr">
        <x:is>
          <x:t xml:space="preserve">Decide commission and payout model</x:t>
        </x:is>
      </x:c>
      <x:c r="B159" s="17" t="inlineStr">
        <x:is>
          <x:t xml:space="preserve">Model processor fees, chargebacks, refunds, taxes, platform fee, Founding Creator discount, payout cadence, and minimum.</x:t>
        </x:is>
      </x:c>
      <x:c r="C159" s="24" t="inlineStr">
        <x:is>
          <x:t xml:space="preserve">📋 Not Started</x:t>
        </x:is>
      </x:c>
      <x:c r="D159" s="19" t="inlineStr">
        <x:is>
          <x:t xml:space="preserve">Do not publish the current 80/20 mock copy until actual processor economics are known.</x:t>
        </x:is>
      </x:c>
    </x:row>
    <x:row r="160" ht="31.5" customHeight="1">
      <x:c r="A160" s="20" t="inlineStr">
        <x:is>
          <x:t xml:space="preserve">Define MVP Admin architecture</x:t>
        </x:is>
      </x:c>
      <x:c r="B160" s="21" t="inlineStr">
        <x:is>
          <x:t xml:space="preserve">Build protected /admin routes inside the web app with API-enforced roles, sensitive permissions, and immutable audit logs.</x:t>
        </x:is>
      </x:c>
      <x:c r="C160" s="23" t="inlineStr">
        <x:is>
          <x:t xml:space="preserve">🔄 In Progress</x:t>
        </x:is>
      </x:c>
      <x:c r="D160" s="22" t="str">
        <x:v>Recommended protected /admin architecture is documented in PLAN.md. API role enforcement now exists, but admin routes, sensitive permissions, and audit logging remain pending.</x:v>
      </x:c>
    </x:row>
    <x:row r="161" ht="31.5" customHeight="1">
      <x:c r="A161" s="16" t="inlineStr">
        <x:is>
          <x:t xml:space="preserve">Adopt TypeScript backend and shared contracts</x:t>
        </x:is>
      </x:c>
      <x:c r="B161" s="17" t="inlineStr">
        <x:is>
          <x:t xml:space="preserve">Keep the current web prototype in JavaScript initially; write new API/database/contracts in TypeScript and migrate frontend gradually.</x:t>
        </x:is>
      </x:c>
      <x:c r="C161" s="23" t="inlineStr">
        <x:is>
          <x:t xml:space="preserve">🔄 In Progress</x:t>
        </x:is>
      </x:c>
      <x:c r="D161" s="19" t="str">
        <x:v>TypeScript API/contracts/database foundation is active. Core auth backend and DB-backed tests are implemented; the JavaScript frontend remains intentionally unchanged until integration.</x:v>
      </x:c>
    </x:row>
    <x:row r="162" ht="31.5" customHeight="1">
      <x:c r="A162" s="20" t="inlineStr">
        <x:is>
          <x:t xml:space="preserve">Replace prototype contact addresses</x:t>
        </x:is>
      </x:c>
      <x:c r="B162" s="21" t="inlineStr">
        <x:is>
          <x:t xml:space="preserve">Replace unconfigured production-looking emails with .example sample addresses until real domains and mailboxes are operational.</x:t>
        </x:is>
      </x:c>
      <x:c r="C162" s="24" t="inlineStr">
        <x:is>
          <x:t xml:space="preserve">📋 Not Started</x:t>
        </x:is>
      </x:c>
      <x:c r="D162" s="22" t="inlineStr">
        <x:is>
          <x:t xml:space="preserve">Legal and support UI must not imply nonexistent operations.</x:t>
        </x:is>
      </x:c>
    </x:row>
    <x:row r="163" ht="31.5" customHeight="1">
      <x:c r="A163" s="16" t="inlineStr">
        <x:is>
          <x:t xml:space="preserve">Prepare public-member / controlled-creator beta</x:t>
        </x:is>
      </x:c>
      <x:c r="B163" s="17" t="inlineStr">
        <x:is>
          <x:t xml:space="preserve">Allow public member registration when safe while onboarding creators through verification and approval controls.</x:t>
        </x:is>
      </x:c>
      <x:c r="C163" s="23" t="inlineStr">
        <x:is>
          <x:t xml:space="preserve">🔄 In Progress</x:t>
        </x:is>
      </x:c>
      <x:c r="D163" s="19" t="inlineStr">
        <x:is>
          <x:t xml:space="preserve">A few initial creators are available; member volume is not yet defined.</x:t>
        </x:is>
      </x:c>
    </x:row>
    <x:row r="164" ht="31.5" customHeight="1">
      <x:c r="A164" s="20" t="inlineStr">
        <x:is>
          <x:t xml:space="preserve">Confirm CCBill → Epoch cascade</x:t>
        </x:is>
      </x:c>
      <x:c r="B164" s="21" t="inlineStr">
        <x:is>
          <x:t xml:space="preserve">Obtain written technical and commercial confirmation before implementing fallback payment routing.</x:t>
        </x:is>
      </x:c>
      <x:c r="C164" s="24" t="inlineStr">
        <x:is>
          <x:t xml:space="preserve">📋 Not Started</x:t>
        </x:is>
      </x:c>
      <x:c r="D164" s="22" t="inlineStr">
        <x:is>
          <x:t xml:space="preserve">Merchant applications have not started.</x:t>
        </x:is>
      </x:c>
    </x:row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63:D63"/>
    <x:mergeCell ref="A86:D86"/>
    <x:mergeCell ref="A93:D93"/>
    <x:mergeCell ref="A105:D105"/>
    <x:mergeCell ref="A119:D119"/>
    <x:mergeCell ref="A125:D125"/>
    <x:mergeCell ref="A133:D133"/>
    <x:mergeCell ref="A1:D1"/>
    <x:mergeCell ref="A2:D2"/>
    <x:mergeCell ref="A4:D4"/>
    <x:mergeCell ref="A10:D10"/>
    <x:mergeCell ref="A35:D35"/>
    <x:mergeCell ref="A44:D44"/>
    <x:mergeCell ref="A55:D55"/>
    <x:mergeCell ref="A142:D14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14.430000305175781" defaultRowHeight="15"/>
  <x:cols>
    <x:col min="1" max="1" width="49.13999938964844" customWidth="1"/>
    <x:col min="2" max="2" width="16" customWidth="1"/>
    <x:col min="3" max="3" width="52" customWidth="1"/>
    <x:col min="4" max="4" width="12" customWidth="1"/>
    <x:col min="5" max="5" width="18" customWidth="1"/>
    <x:col min="6" max="6" width="52" customWidth="1"/>
    <x:col min="7" max="26" width="8.710000038146973" customWidth="1"/>
  </x:cols>
  <x:sheetData>
    <x:row r="1" ht="25.5" customHeight="1">
      <x:c r="A1" s="14" t="s">
        <x:v>379</x:v>
      </x:c>
      <x:c r="B1" s="14" t="s">
        <x:v>380</x:v>
      </x:c>
      <x:c r="C1" s="14" t="s">
        <x:v>381</x:v>
      </x:c>
      <x:c r="D1" s="14" t="s">
        <x:v>382</x:v>
      </x:c>
      <x:c r="E1" s="14" t="s">
        <x:v>22</x:v>
      </x:c>
      <x:c r="F1" s="14" t="s">
        <x:v>383</x:v>
      </x:c>
    </x:row>
    <x:row r="2">
      <x:c r="A2" s="20" t="s">
        <x:v>384</x:v>
      </x:c>
      <x:c r="B2" s="21" t="s">
        <x:v>385</x:v>
      </x:c>
      <x:c r="C2" s="21" t="s">
        <x:v>386</x:v>
      </x:c>
      <x:c r="D2" s="21" t="s">
        <x:v>387</x:v>
      </x:c>
      <x:c r="E2" s="24" t="s">
        <x:v>7</x:v>
      </x:c>
      <x:c r="F2" s="21" t="s">
        <x:v>388</x:v>
      </x:c>
    </x:row>
    <x:row r="3">
      <x:c r="A3" s="16" t="s">
        <x:v>389</x:v>
      </x:c>
      <x:c r="B3" s="17" t="s">
        <x:v>385</x:v>
      </x:c>
      <x:c r="C3" s="21" t="inlineStr">
        <x:is>
          <x:t xml:space="preserve">Advanced group chat, rich collaboration, and higher-complexity messaging remain later; basic authenticated WebSocket DMs moved to MVP.</x:t>
        </x:is>
      </x:c>
      <x:c r="D3" s="17" t="s">
        <x:v>387</x:v>
      </x:c>
      <x:c r="E3" s="24" t="s">
        <x:v>7</x:v>
      </x:c>
      <x:c r="F3" s="21" t="inlineStr">
        <x:is>
          <x:t xml:space="preserve">MVP includes real-time direct messages only. Advanced chat remains deferred.</x:t>
        </x:is>
      </x:c>
    </x:row>
    <x:row r="4">
      <x:c r="A4" s="20" t="s">
        <x:v>390</x:v>
      </x:c>
      <x:c r="B4" s="21" t="s">
        <x:v>391</x:v>
      </x:c>
      <x:c r="C4" s="21" t="inlineStr">
        <x:is>
          <x:t xml:space="preserve">Moved into the launch MVP by founder decision on June 21, 2026.</x:t>
        </x:is>
      </x:c>
      <x:c r="D4" s="21" t="inlineStr">
        <x:is>
          <x:t xml:space="preserve">Critical</x:t>
        </x:is>
      </x:c>
      <x:c r="E4" s="48" t="inlineStr">
        <x:is>
          <x:t xml:space="preserve">➡️ Moved to MVP</x:t>
        </x:is>
      </x:c>
      <x:c r="F4" s="21" t="inlineStr">
        <x:is>
          <x:t xml:space="preserve">Tracked in Master Tracker: Implement tipping / Send Love.</x:t>
        </x:is>
      </x:c>
    </x:row>
    <x:row r="5">
      <x:c r="A5" s="16" t="s">
        <x:v>392</x:v>
      </x:c>
      <x:c r="B5" s="17" t="s">
        <x:v>391</x:v>
      </x:c>
      <x:c r="C5" s="17" t="inlineStr">
        <x:is>
          <x:t xml:space="preserve">Moved into the launch MVP by founder decision on June 21, 2026.</x:t>
        </x:is>
      </x:c>
      <x:c r="D5" s="17" t="inlineStr">
        <x:is>
          <x:t xml:space="preserve">Critical</x:t>
        </x:is>
      </x:c>
      <x:c r="E5" s="48" t="inlineStr">
        <x:is>
          <x:t xml:space="preserve">➡️ Moved to MVP</x:t>
        </x:is>
      </x:c>
      <x:c r="F5" s="17" t="inlineStr">
        <x:is>
          <x:t xml:space="preserve">Tracked in Master Tracker: Implement PPV purchases.</x:t>
        </x:is>
      </x:c>
    </x:row>
    <x:row r="6">
      <x:c r="A6" s="20" t="s">
        <x:v>393</x:v>
      </x:c>
      <x:c r="B6" s="21" t="s">
        <x:v>394</x:v>
      </x:c>
      <x:c r="C6" s="21" t="s">
        <x:v>395</x:v>
      </x:c>
      <x:c r="D6" s="21" t="s">
        <x:v>387</x:v>
      </x:c>
      <x:c r="E6" s="24" t="s">
        <x:v>7</x:v>
      </x:c>
      <x:c r="F6" s="21" t="s">
        <x:v>388</x:v>
      </x:c>
    </x:row>
    <x:row r="7">
      <x:c r="A7" s="16" t="s">
        <x:v>396</x:v>
      </x:c>
      <x:c r="B7" s="17" t="s">
        <x:v>397</x:v>
      </x:c>
      <x:c r="C7" s="17" t="s">
        <x:v>398</x:v>
      </x:c>
      <x:c r="D7" s="17" t="s">
        <x:v>399</x:v>
      </x:c>
      <x:c r="E7" s="24" t="s">
        <x:v>7</x:v>
      </x:c>
      <x:c r="F7" s="17" t="s">
        <x:v>388</x:v>
      </x:c>
    </x:row>
    <x:row r="8">
      <x:c r="A8" s="20" t="s">
        <x:v>400</x:v>
      </x:c>
      <x:c r="B8" s="21" t="s">
        <x:v>401</x:v>
      </x:c>
      <x:c r="C8" s="21" t="s">
        <x:v>402</x:v>
      </x:c>
      <x:c r="D8" s="21" t="s">
        <x:v>399</x:v>
      </x:c>
      <x:c r="E8" s="24" t="s">
        <x:v>7</x:v>
      </x:c>
      <x:c r="F8" s="21" t="s">
        <x:v>403</x:v>
      </x:c>
    </x:row>
    <x:row r="9">
      <x:c r="A9" s="16" t="s">
        <x:v>404</x:v>
      </x:c>
      <x:c r="B9" s="17" t="s">
        <x:v>385</x:v>
      </x:c>
      <x:c r="C9" s="17" t="inlineStr">
        <x:is>
          <x:t xml:space="preserve">Moved into the launch MVP by founder decision on June 21, 2026.</x:t>
        </x:is>
      </x:c>
      <x:c r="D9" s="17" t="inlineStr">
        <x:is>
          <x:t xml:space="preserve">Critical</x:t>
        </x:is>
      </x:c>
      <x:c r="E9" s="48" t="inlineStr">
        <x:is>
          <x:t xml:space="preserve">➡️ Moved to MVP</x:t>
        </x:is>
      </x:c>
      <x:c r="F9" s="17" t="inlineStr">
        <x:is>
          <x:t xml:space="preserve">Oasis/Drimy is now launch scope for daily retention, collectibles, backgrounds, and skins.</x:t>
        </x:is>
      </x:c>
    </x:row>
    <x:row r="10">
      <x:c r="A10" s="20" t="s">
        <x:v>405</x:v>
      </x:c>
      <x:c r="B10" s="21" t="s">
        <x:v>391</x:v>
      </x:c>
      <x:c r="C10" s="21" t="s">
        <x:v>406</x:v>
      </x:c>
      <x:c r="D10" s="21" t="s">
        <x:v>387</x:v>
      </x:c>
      <x:c r="E10" s="24" t="s">
        <x:v>7</x:v>
      </x:c>
      <x:c r="F10" s="21" t="s">
        <x:v>407</x:v>
      </x:c>
    </x:row>
    <x:row r="11">
      <x:c r="A11" s="16" t="s">
        <x:v>408</x:v>
      </x:c>
      <x:c r="B11" s="17" t="s">
        <x:v>391</x:v>
      </x:c>
      <x:c r="C11" s="17" t="s">
        <x:v>409</x:v>
      </x:c>
      <x:c r="D11" s="17" t="s">
        <x:v>387</x:v>
      </x:c>
      <x:c r="E11" s="24" t="s">
        <x:v>7</x:v>
      </x:c>
      <x:c r="F11" s="17" t="s">
        <x:v>410</x:v>
      </x:c>
    </x:row>
    <x:row r="12">
      <x:c r="A12" s="20" t="s">
        <x:v>411</x:v>
      </x:c>
      <x:c r="B12" s="21" t="s">
        <x:v>412</x:v>
      </x:c>
      <x:c r="C12" s="21" t="s">
        <x:v>413</x:v>
      </x:c>
      <x:c r="D12" s="21" t="s">
        <x:v>387</x:v>
      </x:c>
      <x:c r="E12" s="24" t="s">
        <x:v>7</x:v>
      </x:c>
      <x:c r="F12" s="21" t="s">
        <x:v>414</x:v>
      </x:c>
    </x:row>
    <x:row r="13">
      <x:c r="A13" s="16" t="s">
        <x:v>415</x:v>
      </x:c>
      <x:c r="B13" s="17" t="s">
        <x:v>416</x:v>
      </x:c>
      <x:c r="C13" s="17" t="s">
        <x:v>417</x:v>
      </x:c>
      <x:c r="D13" s="17" t="s">
        <x:v>418</x:v>
      </x:c>
      <x:c r="E13" s="24" t="s">
        <x:v>7</x:v>
      </x:c>
      <x:c r="F13" s="17" t="s">
        <x:v>419</x:v>
      </x:c>
    </x:row>
    <x:row r="14">
      <x:c r="A14" s="20" t="s">
        <x:v>420</x:v>
      </x:c>
      <x:c r="B14" s="21" t="s">
        <x:v>421</x:v>
      </x:c>
      <x:c r="C14" s="21" t="s">
        <x:v>422</x:v>
      </x:c>
      <x:c r="D14" s="21" t="s">
        <x:v>399</x:v>
      </x:c>
      <x:c r="E14" s="24" t="s">
        <x:v>7</x:v>
      </x:c>
      <x:c r="F14" s="21" t="s">
        <x:v>423</x:v>
      </x:c>
    </x:row>
    <x:row r="15">
      <x:c r="A15" s="45" t="s">
        <x:v>424</x:v>
      </x:c>
      <x:c r="B15" s="46" t="s">
        <x:v>425</x:v>
      </x:c>
      <x:c r="C15" s="47" t="s">
        <x:v>426</x:v>
      </x:c>
      <x:c r="D15" s="46" t="s">
        <x:v>387</x:v>
      </x:c>
      <x:c r="E15" s="48" t="s">
        <x:v>7</x:v>
      </x:c>
      <x:c r="F15" s="47" t="s">
        <x:v>427</x:v>
      </x:c>
    </x:row>
    <x:row r="16">
      <x:c r="A16" s="49" t="s">
        <x:v>428</x:v>
      </x:c>
      <x:c r="B16" s="50" t="s">
        <x:v>429</x:v>
      </x:c>
      <x:c r="C16" s="51" t="s">
        <x:v>430</x:v>
      </x:c>
      <x:c r="D16" s="50" t="s">
        <x:v>399</x:v>
      </x:c>
      <x:c r="E16" s="48" t="s">
        <x:v>7</x:v>
      </x:c>
      <x:c r="F16" s="51" t="s">
        <x:v>431</x:v>
      </x:c>
    </x:row>
    <x:row r="17">
      <x:c r="A17" s="52" t="s">
        <x:v>432</x:v>
      </x:c>
      <x:c r="B17" s="53" t="s">
        <x:v>401</x:v>
      </x:c>
      <x:c r="C17" s="54" t="s">
        <x:v>433</x:v>
      </x:c>
      <x:c r="D17" s="53" t="s">
        <x:v>399</x:v>
      </x:c>
      <x:c r="E17" s="48" t="s">
        <x:v>7</x:v>
      </x:c>
      <x:c r="F17" s="54" t="s">
        <x:v>434</x:v>
      </x:c>
    </x:row>
    <x:row r="21" ht="15.75" customHeight="1"/>
    <x:row r="22" ht="15.75" customHeight="1"/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14.430000305175781" defaultRowHeight="15"/>
  <x:cols>
    <x:col min="1" max="1" width="21" customWidth="1"/>
    <x:col min="2" max="2" width="110" customWidth="1"/>
    <x:col min="3" max="26" width="8.710000038146973" customWidth="1"/>
  </x:cols>
  <x:sheetData>
    <x:row r="1" ht="42" customHeight="1">
      <x:c r="A1" s="1" t="s">
        <x:v>435</x:v>
      </x:c>
      <x:c r="B1" s="3"/>
    </x:row>
    <x:row r="3">
      <x:c r="A3" s="14" t="s">
        <x:v>436</x:v>
      </x:c>
      <x:c r="B3" s="14" t="s">
        <x:v>437</x:v>
      </x:c>
    </x:row>
    <x:row r="4">
      <x:c r="A4" s="55" t="s">
        <x:v>438</x:v>
      </x:c>
      <x:c r="B4" s="58" t="str">
        <x:v>This workbook is reconciled with the repository and founder decisions through July 16, 2026.</x:v>
      </x:c>
    </x:row>
    <x:row r="5">
      <x:c r="A5" s="57" t="s">
        <x:v>439</x:v>
      </x:c>
      <x:c r="B5" s="58" t="s">
        <x:v>440</x:v>
      </x:c>
    </x:row>
    <x:row r="6">
      <x:c r="A6" s="55" t="s">
        <x:v>441</x:v>
      </x:c>
      <x:c r="B6" s="56" t="s">
        <x:v>442</x:v>
      </x:c>
    </x:row>
    <x:row r="7">
      <x:c r="A7" s="57" t="s">
        <x:v>443</x:v>
      </x:c>
      <x:c r="B7" s="58" t="s">
        <x:v>444</x:v>
      </x:c>
    </x:row>
    <x:row r="8">
      <x:c r="A8" s="55" t="s">
        <x:v>445</x:v>
      </x:c>
      <x:c r="B8" s="56" t="s">
        <x:v>446</x:v>
      </x:c>
    </x:row>
    <x:row r="9">
      <x:c r="A9" s="57" t="s">
        <x:v>447</x:v>
      </x:c>
      <x:c r="B9" s="58" t="s">
        <x:v>448</x:v>
      </x:c>
    </x:row>
    <x:row r="10">
      <x:c r="A10" s="55" t="s">
        <x:v>449</x:v>
      </x:c>
      <x:c r="B10" s="56" t="s">
        <x:v>450</x:v>
      </x:c>
    </x:row>
    <x:row r="11">
      <x:c r="A11" s="57" t="s">
        <x:v>451</x:v>
      </x:c>
      <x:c r="B11" s="58" t="s">
        <x:v>452</x:v>
      </x:c>
    </x:row>
    <x:row r="12">
      <x:c r="A12" s="55" t="s">
        <x:v>453</x:v>
      </x:c>
      <x:c r="B12" s="56" t="s">
        <x:v>454</x:v>
      </x:c>
    </x:row>
    <x:row r="13">
      <x:c r="A13" s="57" t="s">
        <x:v>455</x:v>
      </x:c>
      <x:c r="B13" s="58" t="s">
        <x:v>456</x:v>
      </x:c>
    </x:row>
    <x:row r="14">
      <x:c r="A14" s="55" t="s">
        <x:v>457</x:v>
      </x:c>
      <x:c r="B14" s="56" t="s">
        <x:v>458</x:v>
      </x:c>
    </x:row>
    <x:row r="15">
      <x:c r="A15" s="57" t="s">
        <x:v>459</x:v>
      </x:c>
      <x:c r="B15" s="58" t="s">
        <x:v>460</x:v>
      </x:c>
    </x:row>
    <x:row r="17">
      <x:c r="A17" s="5" t="s">
        <x:v>461</x:v>
      </x:c>
    </x:row>
    <x:row r="18">
      <x:c r="A18" s="59" t="s">
        <x:v>462</x:v>
      </x:c>
      <x:c r="B18" s="60" t="s">
        <x:v>463</x:v>
      </x:c>
    </x:row>
    <x:row r="19">
      <x:c r="A19" s="59" t="s">
        <x:v>462</x:v>
      </x:c>
      <x:c r="B19" s="60" t="s">
        <x:v>464</x:v>
      </x:c>
    </x:row>
    <x:row r="20">
      <x:c r="A20" s="59" t="s">
        <x:v>462</x:v>
      </x:c>
      <x:c r="B20" s="60" t="s">
        <x:v>465</x:v>
      </x:c>
    </x:row>
    <x:row r="21" ht="15.75" customHeight="1">
      <x:c r="A21" s="59" t="s">
        <x:v>462</x:v>
      </x:c>
      <x:c r="B21" s="60" t="s">
        <x:v>466</x:v>
      </x:c>
    </x:row>
    <x:row r="22" ht="15.75" customHeight="1">
      <x:c r="A22" s="59" t="s">
        <x:v>462</x:v>
      </x:c>
      <x:c r="B22" s="60" t="s">
        <x:v>467</x:v>
      </x:c>
    </x:row>
    <x:row r="23" ht="15.75" customHeight="1">
      <x:c r="A23" s="59" t="s">
        <x:v>462</x:v>
      </x:c>
      <x:c r="B23" s="60" t="s">
        <x:v>468</x:v>
      </x:c>
    </x:row>
    <x:row r="24" ht="15.75" customHeight="1">
      <x:c r="A24" s="59" t="s">
        <x:v>462</x:v>
      </x:c>
      <x:c r="B24" s="60" t="s">
        <x:v>469</x:v>
      </x:c>
    </x:row>
    <x:row r="25" ht="15.75" customHeight="1">
      <x:c r="A25" s="59" t="s">
        <x:v>462</x:v>
      </x:c>
      <x:c r="B25" s="60" t="s">
        <x:v>470</x:v>
      </x:c>
    </x:row>
    <x:row r="26" ht="15.75" customHeight="1">
      <x:c r="A26" s="59" t="s">
        <x:v>462</x:v>
      </x:c>
      <x:c r="B26" s="60" t="s">
        <x:v>471</x:v>
      </x:c>
    </x:row>
    <x:row r="27" ht="15.75" customHeight="1">
      <x:c r="A27" s="59" t="s">
        <x:v>462</x:v>
      </x:c>
      <x:c r="B27" s="60" t="s">
        <x:v>472</x:v>
      </x:c>
    </x:row>
    <x:row r="28" ht="15.75" customHeight="1">
      <x:c r="A28" s="59" t="s">
        <x:v>462</x:v>
      </x:c>
      <x:c r="B28" s="60" t="s">
        <x:v>473</x:v>
      </x:c>
    </x:row>
    <x:row r="29" ht="15.75" customHeight="1">
      <x:c r="A29" s="59" t="s">
        <x:v>462</x:v>
      </x:c>
      <x:c r="B29" s="60" t="s">
        <x:v>474</x:v>
      </x:c>
    </x:row>
    <x:row r="30" ht="15.75" customHeight="1">
      <x:c r="A30" s="59" t="s">
        <x:v>462</x:v>
      </x:c>
      <x:c r="B30" s="60" t="s">
        <x:v>475</x:v>
      </x:c>
    </x:row>
    <x:row r="31" ht="15.75" customHeight="1">
      <x:c r="A31" s="59" t="s">
        <x:v>462</x:v>
      </x:c>
      <x:c r="B31" s="60" t="s">
        <x:v>476</x:v>
      </x:c>
    </x:row>
    <x:row r="32" ht="15.75" customHeight="1">
      <x:c r="A32" s="59" t="s">
        <x:v>462</x:v>
      </x:c>
      <x:c r="B32" s="60" t="s">
        <x:v>477</x:v>
      </x:c>
    </x:row>
    <x:row r="33" ht="15.75" customHeight="1">
      <x:c r="A33" s="59" t="s">
        <x:v>462</x:v>
      </x:c>
      <x:c r="B33" s="60" t="s">
        <x:v>478</x:v>
      </x:c>
    </x:row>
    <x:row r="34" ht="15.75" customHeight="1">
      <x:c r="A34" s="59" t="s">
        <x:v>462</x:v>
      </x:c>
      <x:c r="B34" s="60" t="s">
        <x:v>479</x:v>
      </x:c>
    </x:row>
    <x:row r="35" ht="15.75" customHeight="1">
      <x:c r="A35" s="59" t="s">
        <x:v>462</x:v>
      </x:c>
      <x:c r="B35" s="60" t="s">
        <x:v>480</x:v>
      </x:c>
    </x:row>
    <x:row r="36" ht="15.75" customHeight="1">
      <x:c r="A36" s="59" t="s">
        <x:v>462</x:v>
      </x:c>
      <x:c r="B36" s="60" t="s">
        <x:v>481</x:v>
      </x:c>
    </x:row>
    <x:row r="37" ht="15.75" customHeight="1">
      <x:c r="A37" s="59" t="s">
        <x:v>462</x:v>
      </x:c>
      <x:c r="B37" s="60" t="s">
        <x:v>482</x:v>
      </x:c>
    </x:row>
    <x:row r="38" ht="15.75" customHeight="1">
      <x:c r="A38" s="59" t="s">
        <x:v>462</x:v>
      </x:c>
      <x:c r="B38" s="60" t="s">
        <x:v>483</x:v>
      </x:c>
    </x:row>
    <x:row r="39" ht="15.75" customHeight="1">
      <x:c r="A39" s="59" t="s">
        <x:v>462</x:v>
      </x:c>
      <x:c r="B39" s="60" t="s">
        <x:v>484</x:v>
      </x:c>
    </x:row>
    <x:row r="40" ht="15.75" customHeight="1">
      <x:c r="A40" s="59" t="s">
        <x:v>462</x:v>
      </x:c>
      <x:c r="B40" s="60" t="s">
        <x:v>485</x:v>
      </x:c>
    </x:row>
    <x:row r="41" ht="15.75" customHeight="1">
      <x:c r="A41" s="59" t="s">
        <x:v>462</x:v>
      </x:c>
      <x:c r="B41" s="60" t="inlineStr">
        <x:is>
          <x:t xml:space="preserve">Oasis / Drimys is now launch scope. It targets daily retention through XP, Orbs, evolution, tasks, backgrounds, skins, frames, badges, and collectibles.</x:t>
        </x:is>
      </x:c>
    </x:row>
    <x:row r="42" ht="15.75" customHeight="1"/>
    <x:row r="43" ht="15.75" customHeight="1">
      <x:c r="A43" s="61" t="inlineStr">
        <x:is>
          <x:t xml:space="preserve">🚀 Current Delivery Plan</x:t>
        </x:is>
      </x:c>
    </x:row>
    <x:row r="44" ht="36" customHeight="1">
      <x:c r="A44" s="71" t="inlineStr">
        <x:is>
          <x:t xml:space="preserve">Plan source</x:t>
        </x:is>
      </x:c>
      <x:c r="B44" s="71" t="str">
        <x:v>The dependency-ordered roadmap remains in repository PLAN.md. Phase 1 is verified, Phase 2 is partially complete, and Phase 3 is split into four independently verified slices.</x:v>
      </x:c>
    </x:row>
    <x:row r="45" ht="36" customHeight="1">
      <x:c r="A45" s="72" t="inlineStr">
        <x:is>
          <x:t xml:space="preserve">Immediate 1</x:t>
        </x:is>
      </x:c>
      <x:c r="B45" s="73" t="str">
        <x:v>Phase 3 slice 1 core-auth backend is implemented and locally verified. Next engineering slice: email verification and password reset using Mailpit plus a provider-neutral mailer abstraction.</x:v>
      </x:c>
    </x:row>
    <x:row r="46" ht="36" customHeight="1">
      <x:c r="A46" s="72" t="inlineStr">
        <x:is>
          <x:t xml:space="preserve">Immediate 2</x:t>
        </x:is>
      </x:c>
      <x:c r="B46" s="73" t="str">
        <x:v>Keep Phase 2 labeled partially complete; decide AWS/Sentry/Redis direction and finish staging, backups/restore, monitoring, queueing, and idempotency.</x:v>
      </x:c>
    </x:row>
    <x:row r="47" ht="36" customHeight="1">
      <x:c r="A47" s="72" t="inlineStr">
        <x:is>
          <x:t xml:space="preserve">Immediate 3</x:t>
        </x:is>
      </x:c>
      <x:c r="B47" s="73" t="str">
        <x:v>Begin privacy-focused LLC attorney/CPA research, counsel-reviewed retention rules, and merchant compliance preparation in parallel.</x:v>
      </x:c>
    </x:row>
    <x:row r="48" ht="36" customHeight="1">
      <x:c r="A48" s="72" t="inlineStr">
        <x:is>
          <x:t xml:space="preserve">Immediate 4</x:t>
        </x:is>
      </x:c>
      <x:c r="B48" s="73" t="str">
        <x:v>Obtain CCBill/Epoch requirements, fee quotes, and written cascade guidance; continue identity-provider and launch-country research.</x:v>
      </x:c>
    </x:row>
    <x:row r="49" ht="36" customHeight="1">
      <x:c r="A49" s="72" t="inlineStr">
        <x:is>
          <x:t xml:space="preserve">Immediate 5</x:t>
        </x:is>
      </x:c>
      <x:c r="B49" s="73" t="str">
        <x:v>Verification is recorded in HANDOFF.md. The corrected design commit remains local until an explicit public-repository push is approved.</x:v>
      </x:c>
    </x:row>
    <x:row r="50" ht="15.75" customHeight="1">
      <x:c r="A50" s="64"/>
      <x:c r="B50" s="64"/>
    </x:row>
    <x:row r="51" ht="15.75" customHeight="1">
      <x:c r="A51" s="65"/>
      <x:c r="B51" s="66"/>
    </x:row>
    <x:row r="52" ht="19.5" customHeight="1">
      <x:c r="A52" s="65" t="str">
        <x:v>✅ July 7, 2026 — Confirmed Founder Decisions</x:v>
      </x:c>
      <x:c r="B52" s="66"/>
    </x:row>
    <x:row r="53" ht="34.5" customHeight="1">
      <x:c r="A53" s="74" t="str">
        <x:v>•</x:v>
      </x:c>
      <x:c r="B53" s="79" t="str">
        <x:v>Phase 3 starts on the local stack while Phase 2 remains explicitly partially complete.</x:v>
      </x:c>
    </x:row>
    <x:row r="54" ht="34.5" customHeight="1">
      <x:c r="A54" s="74" t="str">
        <x:v>•</x:v>
      </x:c>
      <x:c r="B54" s="79" t="str">
        <x:v>First beta uses email/password only; Google OAuth is not beta scope.</x:v>
      </x:c>
    </x:row>
    <x:row r="55" ht="34.5" customHeight="1">
      <x:c r="A55" s="74" t="str">
        <x:v>•</x:v>
      </x:c>
      <x:c r="B55" s="79" t="str">
        <x:v>Phase 3 is decomposed into four slices: core auth backend, email flows, frontend integration, and Settings.</x:v>
      </x:c>
    </x:row>
    <x:row r="56" ht="34.5" customHeight="1">
      <x:c r="A56" s="74" t="str">
        <x:v>•</x:v>
      </x:c>
      <x:c r="B56" s="80" t="str">
        <x:v>Sessions use opaque tokens with 30-day sliding expiry, renewed at most once per day.</x:v>
      </x:c>
    </x:row>
    <x:row r="57" ht="34.5" customHeight="1">
      <x:c r="A57" s="81" t="str">
        <x:v>•</x:v>
      </x:c>
      <x:c r="B57" s="79" t="str">
        <x:v>Acceptance records are append-only with restrictive deletion; future account deletion must follow counsel-approved retention and pseudonymization rules.</x:v>
      </x:c>
    </x:row>
    <x:row r="58" ht="34.5" customHeight="1">
      <x:c r="A58" s="74" t="str">
        <x:v>•</x:v>
      </x:c>
      <x:c r="B58" s="79" t="str">
        <x:v>Phase 3 slice 1 is backend-only; no frontend authentication behavior is claimed yet.</x:v>
      </x:c>
    </x:row>
    <x:row r="59" ht="34.5" customHeight="1">
      <x:c r="A59" s="74" t="str">
        <x:v>•</x:v>
      </x:c>
      <x:c r="B59" s="79" t="str">
        <x:v>Core-auth implementation uses Argon2id and transparently upgrades the development scrypt seed format after a successful login.</x:v>
      </x:c>
    </x:row>
    <x:row r="60" ht="34.5" customHeight="1">
      <x:c r="A60" s="74" t="str">
        <x:v>•</x:v>
      </x:c>
      <x:c r="B60" s="79" t="str">
        <x:v>Email verification enforcement, password reset, frontend auth, Settings, OAuth, and Redis-backed throttling remain later slices or deferred work.</x:v>
      </x:c>
    </x:row>
    <x:row r="61" ht="15.75" customHeight="1">
      <x:c r="A61" s="65"/>
      <x:c r="B61" s="66"/>
    </x:row>
    <x:row r="62" ht="15.75" customHeight="1">
      <x:c r="A62" s="65"/>
      <x:c r="B62" s="66"/>
    </x:row>
    <x:row r="63" ht="15.75" customHeight="1">
      <x:c r="A63" s="64"/>
      <x:c r="B63" s="67"/>
    </x:row>
    <x:row r="64" ht="15.75" customHeight="1">
      <x:c r="B64" s="66"/>
    </x:row>
    <x:row r="65" ht="15.75" customHeight="1"/>
    <x:row r="66" ht="15.75" customHeight="1">
      <x:c r="A66" s="61" t="inlineStr">
        <x:is>
          <x:t xml:space="preserve">✅ June 21, 2026 — Confirmed Founder Decisions</x:t>
        </x:is>
      </x:c>
    </x:row>
    <x:row r="67" ht="28.5" customHeight="1">
      <x:c r="A67" s="65" t="inlineStr">
        <x:is>
          <x:t xml:space="preserve">•</x:t>
        </x:is>
      </x:c>
      <x:c r="B67" s="66" t="inlineStr">
        <x:is>
          <x:t xml:space="preserve">Oasis/Drimy must be functional at launch.</x:t>
        </x:is>
      </x:c>
    </x:row>
    <x:row r="68" ht="28.5" customHeight="1">
      <x:c r="A68" s="65" t="inlineStr">
        <x:is>
          <x:t xml:space="preserve">•</x:t>
        </x:is>
      </x:c>
      <x:c r="B68" s="66" t="inlineStr">
        <x:is>
          <x:t xml:space="preserve">Store and Connect are launch-critical.</x:t>
        </x:is>
      </x:c>
    </x:row>
    <x:row r="69" ht="28.5" customHeight="1">
      <x:c r="A69" s="65" t="inlineStr">
        <x:is>
          <x:t xml:space="preserve">•</x:t>
        </x:is>
      </x:c>
      <x:c r="B69" s="66" t="inlineStr">
        <x:is>
          <x:t xml:space="preserve">Tipping, Send Love, and PPV are MVP launch scope.</x:t>
        </x:is>
      </x:c>
    </x:row>
    <x:row r="70" ht="28.5" customHeight="1">
      <x:c r="A70" s="65" t="inlineStr">
        <x:is>
          <x:t xml:space="preserve">•</x:t>
        </x:is>
      </x:c>
      <x:c r="B70" s="66" t="inlineStr">
        <x:is>
          <x:t xml:space="preserve">Live streaming remains post-MVP.</x:t>
        </x:is>
      </x:c>
    </x:row>
    <x:row r="71" ht="28.5" customHeight="1">
      <x:c r="A71" s="65" t="inlineStr">
        <x:is>
          <x:t xml:space="preserve">•</x:t>
        </x:is>
      </x:c>
      <x:c r="B71" s="66" t="inlineStr">
        <x:is>
          <x:t xml:space="preserve">CCBill and Epoch merchant applications have not started and will proceed in parallel.</x:t>
        </x:is>
      </x:c>
    </x:row>
    <x:row r="72" ht="28.5" customHeight="1">
      <x:c r="A72" s="65" t="inlineStr">
        <x:is>
          <x:t xml:space="preserve">•</x:t>
        </x:is>
      </x:c>
      <x:c r="B72" s="66" t="inlineStr">
        <x:is>
          <x:t xml:space="preserve">CCBill-to-Epoch cascade behavior is not yet confirmed.</x:t>
        </x:is>
      </x:c>
    </x:row>
    <x:row r="73" ht="28.5" customHeight="1">
      <x:c r="A73" s="65" t="inlineStr">
        <x:is>
          <x:t xml:space="preserve">•</x:t>
        </x:is>
      </x:c>
      <x:c r="B73" s="66" t="inlineStr">
        <x:is>
          <x:t xml:space="preserve">Veso is prepaid platform credit: 1 Veso = 1 USD.</x:t>
        </x:is>
      </x:c>
    </x:row>
    <x:row r="74" ht="28.5" customHeight="1">
      <x:c r="A74" s="65" t="inlineStr">
        <x:is>
          <x:t xml:space="preserve">•</x:t>
        </x:is>
      </x:c>
      <x:c r="B74" s="66" t="inlineStr">
        <x:is>
          <x:t xml:space="preserve">E-Pal Buff is a product reference for recharge and behavior; Pumdoki needs independently drafted terms.</x:t>
        </x:is>
      </x:c>
    </x:row>
    <x:row r="75" ht="28.5" customHeight="1">
      <x:c r="A75" s="65" t="inlineStr">
        <x:is>
          <x:t xml:space="preserve">•</x:t>
        </x:is>
      </x:c>
      <x:c r="B75" s="66" t="inlineStr">
        <x:is>
          <x:t xml:space="preserve">Commission, Founding Creator discount, payout cadence, and minimum payout remain undecided.</x:t>
        </x:is>
      </x:c>
    </x:row>
    <x:row r="76" ht="28.5" customHeight="1">
      <x:c r="A76" s="65" t="inlineStr">
        <x:is>
          <x:t xml:space="preserve">•</x:t>
        </x:is>
      </x:c>
      <x:c r="B76" s="66" t="inlineStr">
        <x:is>
          <x:t xml:space="preserve">The LLC is not filed. Founder prioritizes privacy and is considering a no-individual-income-tax state.</x:t>
        </x:is>
      </x:c>
    </x:row>
    <x:row r="77" ht="28.5" customHeight="1">
      <x:c r="A77" s="65" t="inlineStr">
        <x:is>
          <x:t xml:space="preserve">•</x:t>
        </x:is>
      </x:c>
      <x:c r="B77" s="66" t="inlineStr">
        <x:is>
          <x:t xml:space="preserve">Recommended stack: TypeScript for new API/contracts, gradual frontend conversion, Express, PostgreSQL, and Prisma.</x:t>
        </x:is>
      </x:c>
    </x:row>
    <x:row r="78" ht="28.5" customHeight="1">
      <x:c r="A78" s="65" t="inlineStr">
        <x:is>
          <x:t xml:space="preserve">•</x:t>
        </x:is>
      </x:c>
      <x:c r="B78" s="66" t="inlineStr">
        <x:is>
          <x:t xml:space="preserve">Recommended auth: one Pumdoki-owned account/session system with optional OAuth login methods later.</x:t>
        </x:is>
      </x:c>
    </x:row>
    <x:row r="79" ht="28.5" customHeight="1">
      <x:c r="A79" s="65" t="inlineStr">
        <x:is>
          <x:t xml:space="preserve">•</x:t>
        </x:is>
      </x:c>
      <x:c r="B79" s="66" t="inlineStr">
        <x:is>
          <x:t xml:space="preserve">Recommended Admin: protected /admin feature inside the web app for MVP, enforced by API roles.</x:t>
        </x:is>
      </x:c>
    </x:row>
    <x:row r="80" ht="28.5" customHeight="1">
      <x:c r="A80" s="65" t="inlineStr">
        <x:is>
          <x:t xml:space="preserve">•</x:t>
        </x:is>
      </x:c>
      <x:c r="B80" s="66" t="inlineStr">
        <x:is>
          <x:t xml:space="preserve">International launch should use a phased country allowlist rather than enabling every country immediately.</x:t>
        </x:is>
      </x:c>
    </x:row>
    <x:row r="81" ht="28.5" customHeight="1">
      <x:c r="A81" s="65" t="inlineStr">
        <x:is>
          <x:t xml:space="preserve">•</x:t>
        </x:is>
      </x:c>
      <x:c r="B81" s="66" t="inlineStr">
        <x:is>
          <x:t xml:space="preserve">Latin American creators are a core audience and require Spanish, local ID, tax, and payout support.</x:t>
        </x:is>
      </x:c>
    </x:row>
    <x:row r="82" ht="28.5" customHeight="1">
      <x:c r="A82" s="65" t="inlineStr">
        <x:is>
          <x:t xml:space="preserve">•</x:t>
        </x:is>
      </x:c>
      <x:c r="B82" s="66" t="inlineStr">
        <x:is>
          <x:t xml:space="preserve">Identity verification may start with a tightly controlled manual beta only if security/legal controls exist; design for provider migration.</x:t>
        </x:is>
      </x:c>
    </x:row>
    <x:row r="83" ht="28.5" customHeight="1">
      <x:c r="A83" s="65" t="inlineStr">
        <x:is>
          <x:t xml:space="preserve">•</x:t>
        </x:is>
      </x:c>
      <x:c r="B83" s="66" t="inlineStr">
        <x:is>
          <x:t xml:space="preserve">Use cost-conscious initial media limits and direct Cloudflare R2 uploads.</x:t>
        </x:is>
      </x:c>
    </x:row>
    <x:row r="84" ht="28.5" customHeight="1">
      <x:c r="A84" s="65" t="inlineStr">
        <x:is>
          <x:t xml:space="preserve">•</x:t>
        </x:is>
      </x:c>
      <x:c r="B84" s="66" t="inlineStr">
        <x:is>
          <x:t xml:space="preserve">Keep performer/consent records simple in the UI while supporting multiple performers in the data model.</x:t>
        </x:is>
      </x:c>
    </x:row>
    <x:row r="85" ht="28.5" customHeight="1">
      <x:c r="A85" s="65" t="inlineStr">
        <x:is>
          <x:t xml:space="preserve">•</x:t>
        </x:is>
      </x:c>
      <x:c r="B85" s="66" t="inlineStr">
        <x:is>
          <x:t xml:space="preserve">Creator membership tiers are standardized.</x:t>
        </x:is>
      </x:c>
    </x:row>
    <x:row r="86" ht="28.5" customHeight="1">
      <x:c r="A86" s="65" t="inlineStr">
        <x:is>
          <x:t xml:space="preserve">•</x:t>
        </x:is>
      </x:c>
      <x:c r="B86" s="66" t="inlineStr">
        <x:is>
          <x:t xml:space="preserve">Store purchases use Veso.</x:t>
        </x:is>
      </x:c>
    </x:row>
    <x:row r="87" ht="28.5" customHeight="1">
      <x:c r="A87" s="65" t="inlineStr">
        <x:is>
          <x:t xml:space="preserve">•</x:t>
        </x:is>
      </x:c>
      <x:c r="B87" s="66" t="inlineStr">
        <x:is>
          <x:t xml:space="preserve">Connect bookings use Veso.</x:t>
        </x:is>
      </x:c>
    </x:row>
    <x:row r="88" ht="28.5" customHeight="1">
      <x:c r="A88" s="65" t="inlineStr">
        <x:is>
          <x:t xml:space="preserve">•</x:t>
        </x:is>
      </x:c>
      <x:c r="B88" s="66" t="inlineStr">
        <x:is>
          <x:t xml:space="preserve">MVP direct messaging uses real WebSockets.</x:t>
        </x:is>
      </x:c>
    </x:row>
    <x:row r="89" ht="28.5" customHeight="1">
      <x:c r="A89" s="65" t="inlineStr">
        <x:is>
          <x:t xml:space="preserve">•</x:t>
        </x:is>
      </x:c>
      <x:c r="B89" s="66" t="inlineStr">
        <x:is>
          <x:t xml:space="preserve">Email provider is undecided; evaluate Amazon SES and provider adult-business support.</x:t>
        </x:is>
      </x:c>
    </x:row>
    <x:row r="90" ht="28.5" customHeight="1">
      <x:c r="A90" s="65" t="inlineStr">
        <x:is>
          <x:t xml:space="preserve">•</x:t>
        </x:is>
      </x:c>
      <x:c r="B90" s="66" t="inlineStr">
        <x:is>
          <x:t xml:space="preserve">Use .example sample addresses until real operational mailboxes exist.</x:t>
        </x:is>
      </x:c>
    </x:row>
    <x:row r="91" ht="28.5" customHeight="1">
      <x:c r="A91" s="65" t="inlineStr">
        <x:is>
          <x:t xml:space="preserve">•</x:t>
        </x:is>
      </x:c>
      <x:c r="B91" s="66" t="inlineStr">
        <x:is>
          <x:t xml:space="preserve">No legal counsel has approved policies yet.</x:t>
        </x:is>
      </x:c>
    </x:row>
    <x:row r="92" ht="28.5" customHeight="1">
      <x:c r="A92" s="65" t="inlineStr">
        <x:is>
          <x:t xml:space="preserve">•</x:t>
        </x:is>
      </x:c>
      <x:c r="B92" s="66" t="inlineStr">
        <x:is>
          <x:t xml:space="preserve">Members need a hide/show explicit 18+ content preference; default hidden is recommended.</x:t>
        </x:is>
      </x:c>
    </x:row>
    <x:row r="93" ht="28.5" customHeight="1">
      <x:c r="A93" s="65" t="inlineStr">
        <x:is>
          <x:t xml:space="preserve">•</x:t>
        </x:is>
      </x:c>
      <x:c r="B93" s="66" t="inlineStr">
        <x:is>
          <x:t xml:space="preserve">Store target: four noticeable medium YouTube-like thumbnails on common large desktops; scale column count with screen width.</x:t>
        </x:is>
      </x:c>
    </x:row>
    <x:row r="94" ht="28.5" customHeight="1">
      <x:c r="A94" s="65" t="inlineStr">
        <x:is>
          <x:t xml:space="preserve">•</x:t>
        </x:is>
      </x:c>
      <x:c r="B94" s="66" t="inlineStr">
        <x:is>
          <x:t xml:space="preserve">Oasis targets daily retention with collectible backgrounds, skins, frames, badges, and related cosmetics.</x:t>
        </x:is>
      </x:c>
    </x:row>
    <x:row r="95" ht="28.5" customHeight="1">
      <x:c r="A95" s="65" t="inlineStr">
        <x:is>
          <x:t xml:space="preserve">•</x:t>
        </x:is>
      </x:c>
      <x:c r="B95" s="66" t="inlineStr">
        <x:is>
          <x:t xml:space="preserve">Preserve the current uncommitted frontend work during restructuring.</x:t>
        </x:is>
      </x:c>
    </x:row>
    <x:row r="96" ht="28.5" customHeight="1">
      <x:c r="A96" s="65" t="inlineStr">
        <x:is>
          <x:t xml:space="preserve">•</x:t>
        </x:is>
      </x:c>
      <x:c r="B96" s="66" t="inlineStr">
        <x:is>
          <x:t xml:space="preserve">Start with known creators under controlled onboarding while preparing public member registration.</x:t>
        </x:is>
      </x:c>
    </x:row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B1"/>
    <x:mergeCell ref="A17:B17"/>
    <x:mergeCell ref="A43:B43"/>
    <x:mergeCell ref="A66:B66"/>
    <x:mergeCell ref="A52:B5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14.430000305175781" defaultRowHeight="15"/>
  <x:cols>
    <x:col min="1" max="1" width="38" customWidth="1"/>
    <x:col min="2" max="2" width="16" customWidth="1"/>
    <x:col min="3" max="3" width="12" customWidth="1"/>
    <x:col min="4" max="4" width="16" customWidth="1"/>
    <x:col min="5" max="6" width="14" customWidth="1"/>
    <x:col min="7" max="7" width="16" customWidth="1"/>
    <x:col min="8" max="8" width="54" customWidth="1"/>
    <x:col min="9" max="26" width="8.710000038146973" customWidth="1"/>
  </x:cols>
  <x:sheetData>
    <x:row r="1" ht="39.75" customHeight="1">
      <x:c r="A1" s="1" t="s">
        <x:v>486</x:v>
      </x:c>
      <x:c r="B1" s="2"/>
      <x:c r="C1" s="2"/>
      <x:c r="D1" s="2"/>
      <x:c r="E1" s="2"/>
      <x:c r="F1" s="2"/>
      <x:c r="G1" s="2"/>
      <x:c r="H1" s="3"/>
    </x:row>
    <x:row r="2">
      <x:c r="A2" s="13" t="s">
        <x:v>487</x:v>
      </x:c>
      <x:c r="B2" s="2"/>
      <x:c r="C2" s="2"/>
      <x:c r="D2" s="2"/>
      <x:c r="E2" s="2"/>
      <x:c r="F2" s="2"/>
      <x:c r="G2" s="2"/>
      <x:c r="H2" s="3"/>
    </x:row>
    <x:row r="3" ht="25.5" customHeight="1">
      <x:c r="A3" s="68" t="s">
        <x:v>488</x:v>
      </x:c>
      <x:c r="B3" s="68" t="s">
        <x:v>380</x:v>
      </x:c>
      <x:c r="C3" s="68" t="s">
        <x:v>489</x:v>
      </x:c>
      <x:c r="D3" s="68" t="s">
        <x:v>490</x:v>
      </x:c>
      <x:c r="E3" s="68" t="s">
        <x:v>491</x:v>
      </x:c>
      <x:c r="F3" s="68" t="s">
        <x:v>492</x:v>
      </x:c>
      <x:c r="G3" s="68" t="s">
        <x:v>22</x:v>
      </x:c>
      <x:c r="H3" s="68" t="s">
        <x:v>23</x:v>
      </x:c>
    </x:row>
    <x:row r="4" ht="25.5" customHeight="1">
      <x:c r="A4" s="15" t="s">
        <x:v>493</x:v>
      </x:c>
      <x:c r="B4" s="2"/>
      <x:c r="C4" s="2"/>
      <x:c r="D4" s="2"/>
      <x:c r="E4" s="2"/>
      <x:c r="F4" s="2"/>
      <x:c r="G4" s="2"/>
      <x:c r="H4" s="3"/>
    </x:row>
    <x:row r="5">
      <x:c r="A5" s="16" t="s">
        <x:v>494</x:v>
      </x:c>
      <x:c r="B5" s="17" t="s">
        <x:v>495</x:v>
      </x:c>
      <x:c r="C5" s="17" t="s">
        <x:v>496</x:v>
      </x:c>
      <x:c r="D5" s="17">
        <x:v>500.0</x:v>
      </x:c>
      <x:c r="E5" s="17"/>
      <x:c r="F5" s="17" t="s">
        <x:v>497</x:v>
      </x:c>
      <x:c r="G5" s="24" t="s">
        <x:v>498</x:v>
      </x:c>
      <x:c r="H5" s="17" t="s">
        <x:v>499</x:v>
      </x:c>
    </x:row>
    <x:row r="6">
      <x:c r="A6" s="20" t="s">
        <x:v>500</x:v>
      </x:c>
      <x:c r="B6" s="21" t="s">
        <x:v>495</x:v>
      </x:c>
      <x:c r="C6" s="21" t="s">
        <x:v>496</x:v>
      </x:c>
      <x:c r="D6" s="21">
        <x:v>500.0</x:v>
      </x:c>
      <x:c r="E6" s="21"/>
      <x:c r="F6" s="21" t="s">
        <x:v>497</x:v>
      </x:c>
      <x:c r="G6" s="24" t="s">
        <x:v>498</x:v>
      </x:c>
      <x:c r="H6" s="21" t="s">
        <x:v>501</x:v>
      </x:c>
    </x:row>
    <x:row r="7">
      <x:c r="A7" s="16" t="s">
        <x:v>502</x:v>
      </x:c>
      <x:c r="B7" s="17" t="s">
        <x:v>495</x:v>
      </x:c>
      <x:c r="C7" s="17" t="s">
        <x:v>496</x:v>
      </x:c>
      <x:c r="D7" s="17">
        <x:v>0.0</x:v>
      </x:c>
      <x:c r="E7" s="17"/>
      <x:c r="F7" s="17" t="s">
        <x:v>497</x:v>
      </x:c>
      <x:c r="G7" s="24" t="s">
        <x:v>498</x:v>
      </x:c>
      <x:c r="H7" s="17" t="s">
        <x:v>503</x:v>
      </x:c>
    </x:row>
    <x:row r="8">
      <x:c r="A8" s="20" t="s">
        <x:v>504</x:v>
      </x:c>
      <x:c r="B8" s="21" t="s">
        <x:v>505</x:v>
      </x:c>
      <x:c r="C8" s="21" t="s">
        <x:v>496</x:v>
      </x:c>
      <x:c r="D8" s="21">
        <x:v>350.0</x:v>
      </x:c>
      <x:c r="E8" s="21"/>
      <x:c r="F8" s="21" t="s">
        <x:v>497</x:v>
      </x:c>
      <x:c r="G8" s="24" t="s">
        <x:v>498</x:v>
      </x:c>
      <x:c r="H8" s="21" t="s">
        <x:v>506</x:v>
      </x:c>
    </x:row>
    <x:row r="9">
      <x:c r="A9" s="16" t="s">
        <x:v>507</x:v>
      </x:c>
      <x:c r="B9" s="17" t="s">
        <x:v>505</x:v>
      </x:c>
      <x:c r="C9" s="17" t="s">
        <x:v>496</x:v>
      </x:c>
      <x:c r="D9" s="17">
        <x:v>350.0</x:v>
      </x:c>
      <x:c r="E9" s="17"/>
      <x:c r="F9" s="17" t="s">
        <x:v>497</x:v>
      </x:c>
      <x:c r="G9" s="24" t="s">
        <x:v>498</x:v>
      </x:c>
      <x:c r="H9" s="17" t="s">
        <x:v>508</x:v>
      </x:c>
    </x:row>
    <x:row r="10">
      <x:c r="A10" s="41" t="inlineStr">
        <x:is>
          <x:t xml:space="preserve">LLC Formation (state TBD)</x:t>
        </x:is>
      </x:c>
      <x:c r="B10" s="21" t="s">
        <x:v>505</x:v>
      </x:c>
      <x:c r="C10" s="21" t="s">
        <x:v>496</x:v>
      </x:c>
      <x:c r="D10" s="21">
        <x:v>155.0</x:v>
      </x:c>
      <x:c r="E10" s="21"/>
      <x:c r="F10" s="21" t="s">
        <x:v>497</x:v>
      </x:c>
      <x:c r="G10" s="24" t="s">
        <x:v>498</x:v>
      </x:c>
      <x:c r="H10" s="43" t="inlineStr">
        <x:is>
          <x:t xml:space="preserve">Wyoming is a candidate for privacy/tax evaluation. Confirm state, registered agent, foreign qualification, and total cost with an attorney and CPA before filing.</x:t>
        </x:is>
      </x:c>
    </x:row>
    <x:row r="11">
      <x:c r="A11" s="25" t="s">
        <x:v>509</x:v>
      </x:c>
      <x:c r="B11" s="21" t="s">
        <x:v>505</x:v>
      </x:c>
      <x:c r="C11" s="21" t="s">
        <x:v>496</x:v>
      </x:c>
      <x:c r="D11" s="26">
        <x:v>125.0</x:v>
      </x:c>
      <x:c r="E11" s="21"/>
      <x:c r="F11" s="21" t="s">
        <x:v>497</x:v>
      </x:c>
      <x:c r="G11" s="24" t="s">
        <x:v>498</x:v>
      </x:c>
      <x:c r="H11" s="26" t="s">
        <x:v>510</x:v>
      </x:c>
    </x:row>
    <x:row r="12">
      <x:c r="A12" s="16" t="s">
        <x:v>511</x:v>
      </x:c>
      <x:c r="B12" s="17" t="s">
        <x:v>505</x:v>
      </x:c>
      <x:c r="C12" s="17" t="s">
        <x:v>512</x:v>
      </x:c>
      <x:c r="D12" s="17">
        <x:v>125.0</x:v>
      </x:c>
      <x:c r="E12" s="17"/>
      <x:c r="F12" s="17" t="s">
        <x:v>513</x:v>
      </x:c>
      <x:c r="G12" s="24" t="s">
        <x:v>498</x:v>
      </x:c>
      <x:c r="H12" s="17" t="s">
        <x:v>514</x:v>
      </x:c>
    </x:row>
    <x:row r="13">
      <x:c r="A13" s="20" t="s">
        <x:v>515</x:v>
      </x:c>
      <x:c r="B13" s="21" t="s">
        <x:v>516</x:v>
      </x:c>
      <x:c r="C13" s="21" t="s">
        <x:v>512</x:v>
      </x:c>
      <x:c r="D13" s="21">
        <x:v>15.0</x:v>
      </x:c>
      <x:c r="E13" s="21"/>
      <x:c r="F13" s="21" t="s">
        <x:v>513</x:v>
      </x:c>
      <x:c r="G13" s="24" t="s">
        <x:v>498</x:v>
      </x:c>
      <x:c r="H13" s="21" t="s">
        <x:v>517</x:v>
      </x:c>
    </x:row>
    <x:row r="14" ht="16.5" customHeight="1">
      <x:c r="A14" s="16" t="s">
        <x:v>518</x:v>
      </x:c>
      <x:c r="B14" s="17" t="s">
        <x:v>516</x:v>
      </x:c>
      <x:c r="C14" s="17" t="s">
        <x:v>512</x:v>
      </x:c>
      <x:c r="D14" s="17">
        <x:v>30.0</x:v>
      </x:c>
      <x:c r="E14" s="17"/>
      <x:c r="F14" s="17" t="s">
        <x:v>513</x:v>
      </x:c>
      <x:c r="G14" s="24" t="s">
        <x:v>498</x:v>
      </x:c>
      <x:c r="H14" s="17" t="s">
        <x:v>519</x:v>
      </x:c>
    </x:row>
    <x:row r="15">
      <x:c r="A15" s="15" t="s">
        <x:v>520</x:v>
      </x:c>
      <x:c r="B15" s="2"/>
      <x:c r="C15" s="2"/>
      <x:c r="D15" s="2"/>
      <x:c r="E15" s="2"/>
      <x:c r="F15" s="2"/>
      <x:c r="G15" s="2"/>
      <x:c r="H15" s="3"/>
    </x:row>
    <x:row r="16">
      <x:c r="A16" s="32" t="s">
        <x:v>521</x:v>
      </x:c>
      <x:c r="B16" s="33" t="s">
        <x:v>516</x:v>
      </x:c>
      <x:c r="C16" s="33" t="s">
        <x:v>522</x:v>
      </x:c>
      <x:c r="D16" s="33">
        <x:v>18.0</x:v>
      </x:c>
      <x:c r="E16" s="33"/>
      <x:c r="F16" s="33" t="s">
        <x:v>522</x:v>
      </x:c>
      <x:c r="G16" s="39" t="s">
        <x:v>498</x:v>
      </x:c>
      <x:c r="H16" s="33" t="s">
        <x:v>523</x:v>
      </x:c>
    </x:row>
    <x:row r="17">
      <x:c r="A17" s="20" t="s">
        <x:v>524</x:v>
      </x:c>
      <x:c r="B17" s="21" t="s">
        <x:v>516</x:v>
      </x:c>
      <x:c r="C17" s="21" t="s">
        <x:v>522</x:v>
      </x:c>
      <x:c r="D17" s="21">
        <x:v>0.0</x:v>
      </x:c>
      <x:c r="E17" s="21"/>
      <x:c r="F17" s="21" t="s">
        <x:v>522</x:v>
      </x:c>
      <x:c r="G17" s="24" t="s">
        <x:v>498</x:v>
      </x:c>
      <x:c r="H17" s="21" t="s">
        <x:v>525</x:v>
      </x:c>
    </x:row>
    <x:row r="18">
      <x:c r="A18" s="16" t="s">
        <x:v>526</x:v>
      </x:c>
      <x:c r="B18" s="17" t="s">
        <x:v>516</x:v>
      </x:c>
      <x:c r="C18" s="17" t="s">
        <x:v>522</x:v>
      </x:c>
      <x:c r="D18" s="17">
        <x:v>0.0</x:v>
      </x:c>
      <x:c r="E18" s="17"/>
      <x:c r="F18" s="17" t="s">
        <x:v>522</x:v>
      </x:c>
      <x:c r="G18" s="24" t="s">
        <x:v>498</x:v>
      </x:c>
      <x:c r="H18" s="17" t="s">
        <x:v>527</x:v>
      </x:c>
    </x:row>
    <x:row r="19">
      <x:c r="A19" s="20" t="s">
        <x:v>528</x:v>
      </x:c>
      <x:c r="B19" s="21" t="s">
        <x:v>516</x:v>
      </x:c>
      <x:c r="C19" s="21" t="s">
        <x:v>522</x:v>
      </x:c>
      <x:c r="D19" s="21">
        <x:v>0.0</x:v>
      </x:c>
      <x:c r="E19" s="21"/>
      <x:c r="F19" s="21" t="s">
        <x:v>522</x:v>
      </x:c>
      <x:c r="G19" s="24" t="s">
        <x:v>498</x:v>
      </x:c>
      <x:c r="H19" s="21" t="s">
        <x:v>529</x:v>
      </x:c>
    </x:row>
    <x:row r="20">
      <x:c r="A20" s="16" t="s">
        <x:v>530</x:v>
      </x:c>
      <x:c r="B20" s="17" t="s">
        <x:v>516</x:v>
      </x:c>
      <x:c r="C20" s="17" t="s">
        <x:v>522</x:v>
      </x:c>
      <x:c r="D20" s="17">
        <x:v>0.0</x:v>
      </x:c>
      <x:c r="E20" s="17"/>
      <x:c r="F20" s="17" t="s">
        <x:v>522</x:v>
      </x:c>
      <x:c r="G20" s="24" t="s">
        <x:v>498</x:v>
      </x:c>
      <x:c r="H20" s="17" t="s">
        <x:v>531</x:v>
      </x:c>
    </x:row>
    <x:row r="21" ht="15.75" customHeight="1">
      <x:c r="A21" s="20" t="s">
        <x:v>532</x:v>
      </x:c>
      <x:c r="B21" s="21" t="s">
        <x:v>516</x:v>
      </x:c>
      <x:c r="C21" s="21" t="s">
        <x:v>522</x:v>
      </x:c>
      <x:c r="D21" s="21">
        <x:v>0.0</x:v>
      </x:c>
      <x:c r="E21" s="21"/>
      <x:c r="F21" s="21" t="s">
        <x:v>522</x:v>
      </x:c>
      <x:c r="G21" s="24" t="s">
        <x:v>498</x:v>
      </x:c>
      <x:c r="H21" s="21" t="s">
        <x:v>533</x:v>
      </x:c>
    </x:row>
    <x:row r="22" ht="25.5" customHeight="1">
      <x:c r="A22" s="36" t="s">
        <x:v>534</x:v>
      </x:c>
      <x:c r="B22" s="37" t="s">
        <x:v>516</x:v>
      </x:c>
      <x:c r="C22" s="37" t="s">
        <x:v>522</x:v>
      </x:c>
      <x:c r="D22" s="37">
        <x:v>0.0</x:v>
      </x:c>
      <x:c r="E22" s="37"/>
      <x:c r="F22" s="37" t="s">
        <x:v>522</x:v>
      </x:c>
      <x:c r="G22" s="30" t="s">
        <x:v>498</x:v>
      </x:c>
      <x:c r="H22" s="37" t="s">
        <x:v>535</x:v>
      </x:c>
    </x:row>
    <x:row r="23" ht="15.75" customHeight="1">
      <x:c r="A23" s="15" t="s">
        <x:v>536</x:v>
      </x:c>
      <x:c r="B23" s="2"/>
      <x:c r="C23" s="2"/>
      <x:c r="D23" s="2"/>
      <x:c r="E23" s="2"/>
      <x:c r="F23" s="2"/>
      <x:c r="G23" s="2"/>
      <x:c r="H23" s="3"/>
    </x:row>
    <x:row r="24" ht="15.75" customHeight="1">
      <x:c r="A24" s="32" t="s">
        <x:v>537</x:v>
      </x:c>
      <x:c r="B24" s="33" t="s">
        <x:v>495</x:v>
      </x:c>
      <x:c r="C24" s="33" t="s">
        <x:v>538</x:v>
      </x:c>
      <x:c r="D24" s="33">
        <x:v>0.0</x:v>
      </x:c>
      <x:c r="E24" s="33"/>
      <x:c r="F24" s="33" t="s">
        <x:v>539</x:v>
      </x:c>
      <x:c r="G24" s="39" t="s">
        <x:v>540</x:v>
      </x:c>
      <x:c r="H24" s="33" t="s">
        <x:v>541</x:v>
      </x:c>
    </x:row>
    <x:row r="25" ht="15.75" customHeight="1">
      <x:c r="A25" s="20" t="s">
        <x:v>542</x:v>
      </x:c>
      <x:c r="B25" s="21" t="s">
        <x:v>495</x:v>
      </x:c>
      <x:c r="C25" s="21" t="s">
        <x:v>538</x:v>
      </x:c>
      <x:c r="D25" s="21">
        <x:v>0.0</x:v>
      </x:c>
      <x:c r="E25" s="21"/>
      <x:c r="F25" s="21" t="s">
        <x:v>539</x:v>
      </x:c>
      <x:c r="G25" s="24" t="s">
        <x:v>540</x:v>
      </x:c>
      <x:c r="H25" s="21" t="s">
        <x:v>543</x:v>
      </x:c>
    </x:row>
    <x:row r="26" ht="25.5" customHeight="1">
      <x:c r="A26" s="36" t="s">
        <x:v>544</x:v>
      </x:c>
      <x:c r="B26" s="37" t="s">
        <x:v>495</x:v>
      </x:c>
      <x:c r="C26" s="37" t="s">
        <x:v>538</x:v>
      </x:c>
      <x:c r="D26" s="37">
        <x:v>0.0</x:v>
      </x:c>
      <x:c r="E26" s="37"/>
      <x:c r="F26" s="37" t="s">
        <x:v>545</x:v>
      </x:c>
      <x:c r="G26" s="30" t="s">
        <x:v>540</x:v>
      </x:c>
      <x:c r="H26" s="37" t="s">
        <x:v>546</x:v>
      </x:c>
    </x:row>
    <x:row r="27" ht="15.75" customHeight="1">
      <x:c r="A27" s="15" t="s">
        <x:v>547</x:v>
      </x:c>
      <x:c r="B27" s="2"/>
      <x:c r="C27" s="2"/>
      <x:c r="D27" s="2"/>
      <x:c r="E27" s="2"/>
      <x:c r="F27" s="2"/>
      <x:c r="G27" s="2"/>
      <x:c r="H27" s="3"/>
    </x:row>
    <x:row r="28" ht="15.75" customHeight="1">
      <x:c r="A28" s="32" t="s">
        <x:v>548</x:v>
      </x:c>
      <x:c r="B28" s="33" t="s">
        <x:v>495</x:v>
      </x:c>
      <x:c r="C28" s="33" t="s">
        <x:v>522</x:v>
      </x:c>
      <x:c r="D28" s="33">
        <x:v>0.0</x:v>
      </x:c>
      <x:c r="E28" s="33"/>
      <x:c r="F28" s="33" t="s">
        <x:v>522</x:v>
      </x:c>
      <x:c r="G28" s="39" t="s">
        <x:v>549</x:v>
      </x:c>
      <x:c r="H28" s="33" t="s">
        <x:v>550</x:v>
      </x:c>
    </x:row>
    <x:row r="29" ht="15.75" customHeight="1">
      <x:c r="A29" s="20" t="s">
        <x:v>551</x:v>
      </x:c>
      <x:c r="B29" s="21" t="s">
        <x:v>552</x:v>
      </x:c>
      <x:c r="C29" s="21" t="s">
        <x:v>522</x:v>
      </x:c>
      <x:c r="D29" s="21">
        <x:v>0.0</x:v>
      </x:c>
      <x:c r="E29" s="21"/>
      <x:c r="F29" s="21" t="s">
        <x:v>522</x:v>
      </x:c>
      <x:c r="G29" s="24" t="s">
        <x:v>549</x:v>
      </x:c>
      <x:c r="H29" s="21" t="s">
        <x:v>553</x:v>
      </x:c>
    </x:row>
    <x:row r="30" ht="15.75" customHeight="1">
      <x:c r="A30" s="16" t="s">
        <x:v>554</x:v>
      </x:c>
      <x:c r="B30" s="17" t="s">
        <x:v>505</x:v>
      </x:c>
      <x:c r="C30" s="17" t="s">
        <x:v>522</x:v>
      </x:c>
      <x:c r="D30" s="17">
        <x:v>0.0</x:v>
      </x:c>
      <x:c r="E30" s="17"/>
      <x:c r="F30" s="17" t="s">
        <x:v>522</x:v>
      </x:c>
      <x:c r="G30" s="24" t="s">
        <x:v>549</x:v>
      </x:c>
      <x:c r="H30" s="17" t="s">
        <x:v>555</x:v>
      </x:c>
    </x:row>
    <x:row r="31" ht="25.5" customHeight="1"/>
    <x:row r="32" ht="15.75" customHeight="1">
      <x:c r="A32" s="15" t="s">
        <x:v>556</x:v>
      </x:c>
      <x:c r="B32" s="2"/>
      <x:c r="C32" s="2"/>
      <x:c r="D32" s="2"/>
      <x:c r="E32" s="2"/>
      <x:c r="F32" s="2"/>
      <x:c r="G32" s="2"/>
      <x:c r="H32" s="3"/>
    </x:row>
    <x:row r="33" ht="15.75" customHeight="1">
      <x:c r="A33" s="6" t="s">
        <x:v>557</x:v>
      </x:c>
      <x:c r="B33" s="69" t="n">
        <x:f>SUM(D5:D11)</x:f>
        <x:v>1980</x:v>
      </x:c>
    </x:row>
    <x:row r="34" ht="15.75" customHeight="1">
      <x:c r="A34" s="7" t="s">
        <x:v>558</x:v>
      </x:c>
      <x:c r="B34" s="70">
        <x:v>170.0</x:v>
      </x:c>
    </x:row>
    <x:row r="35" ht="15.75" customHeight="1">
      <x:c r="A35" s="6" t="s">
        <x:v>559</x:v>
      </x:c>
      <x:c r="B35" s="69">
        <x:v>18.0</x:v>
      </x:c>
    </x:row>
    <x:row r="36" ht="15.75" customHeight="1">
      <x:c r="A36" s="7" t="s">
        <x:v>560</x:v>
      </x:c>
      <x:c r="B36" s="70">
        <x:v>1713.0</x:v>
      </x:c>
    </x:row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H1"/>
    <x:mergeCell ref="A2:H2"/>
    <x:mergeCell ref="A4:H4"/>
    <x:mergeCell ref="A15:H15"/>
    <x:mergeCell ref="A23:H23"/>
    <x:mergeCell ref="A27:H27"/>
    <x:mergeCell ref="A32:H32"/>
  </x:mergeCells>
  <x:pageMargins left="0.7" right="0.7" top="0.75" bottom="0.75" header="0.3" footer="0.3"/>
</x:worksheet>
</file>