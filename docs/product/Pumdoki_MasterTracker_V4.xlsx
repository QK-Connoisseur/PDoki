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1432d4d43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16f6b96a1924d94"/>
    <x:sheet xmlns:r="http://schemas.openxmlformats.org/officeDocument/2006/relationships" name="Master Tracker" sheetId="2" r:id="R93dcd7e29dec4b75"/>
    <x:sheet xmlns:r="http://schemas.openxmlformats.org/officeDocument/2006/relationships" name="Backlog" sheetId="3" r:id="Rd0a8e2b0220d4ba5"/>
    <x:sheet xmlns:r="http://schemas.openxmlformats.org/officeDocument/2006/relationships" name="Notes &amp; Assumptions" sheetId="4" r:id="R3eac5e89d79e4665"/>
    <x:sheet xmlns:r="http://schemas.openxmlformats.org/officeDocument/2006/relationships" name="💸 Expense Tracker" sheetId="5" r:id="Rba6512b08e9045d8"/>
    <x:sheet xmlns:r="http://schemas.openxmlformats.org/officeDocument/2006/relationships" name="Legacy Overview 2026-08-16" sheetId="6" r:id="Rd21724ac9677451b"/>
    <x:sheet xmlns:r="http://schemas.openxmlformats.org/officeDocument/2006/relationships" name="Controls" sheetId="7" r:id="Ra8f00a8c14254370"/>
    <x:sheet xmlns:r="http://schemas.openxmlformats.org/officeDocument/2006/relationships" name="Phase Roadmap" sheetId="8" r:id="R48e6850903f243f8"/>
    <x:sheet xmlns:r="http://schemas.openxmlformats.org/officeDocument/2006/relationships" name="Delivery Tracker" sheetId="9" r:id="R33358fc467cd41e2"/>
    <x:sheet xmlns:r="http://schemas.openxmlformats.org/officeDocument/2006/relationships" name="Review &amp; Blocker Queue" sheetId="10" r:id="R3c9b8cfc375648e7"/>
    <x:sheet xmlns:r="http://schemas.openxmlformats.org/officeDocument/2006/relationships" name="Daily Log" sheetId="11" r:id="R508e271d11dd4542"/>
    <x:sheet xmlns:r="http://schemas.openxmlformats.org/officeDocument/2006/relationships" name="Decision Register" sheetId="12" r:id="Re0e57af217b94f6a"/>
    <x:sheet xmlns:r="http://schemas.openxmlformats.org/officeDocument/2006/relationships" name="Launch Budget" sheetId="13" r:id="R097f08b44fd9486a"/>
  </x:sheets>
</x:workbook>
</file>

<file path=xl/sharedStrings.xml><?xml version="1.0" encoding="utf-8"?>
<x:sst xmlns:x="http://schemas.openxmlformats.org/spreadsheetml/2006/main">
  <x:si>
    <x:t xml:space="preserve">🌸  PUMDOKI — Master Build Checklist</x:t>
  </x:si>
  <x:si>
    <x:t xml:space="preserve">A space for creators, members, and real interaction.</x:t>
  </x:si>
  <x:si>
    <x:t xml:space="preserve">Phase / Item</x:t>
  </x:si>
  <x:si>
    <x:t xml:space="preserve">Description</x:t>
  </x:si>
  <x:si>
    <x:t xml:space="preserve">Status</x:t>
  </x:si>
  <x:si>
    <x:t xml:space="preserve">Notes</x:t>
  </x:si>
  <x:si>
    <x:t xml:space="preserve">🎯  PHASE 1 — Strategy &amp; Scope</x:t>
  </x:si>
  <x:si>
    <x:t xml:space="preserve">Define core value proposition</x:t>
  </x:si>
  <x:si>
    <x:t xml:space="preserve">Lock the core promise for creators, members, and interaction.</x:t>
  </x:si>
  <x:si>
    <x:t xml:space="preserve">✅ Done</x:t>
  </x:si>
  <x:si>
    <x:t xml:space="preserve">Positioning: 'A space for creators, members, and real interaction.'</x:t>
  </x:si>
  <x:si>
    <x:t xml:space="preserve">Lock MVP scope</x:t>
  </x:si>
  <x:si>
    <x:t xml:space="preserve">Subscriptions-first, NSFW at launch. Confirm what is excluded from v1.</x:t>
  </x:si>
  <x:si>
    <x:t xml:space="preserve">MVP scope set.</x:t>
  </x:si>
  <x:si>
    <x:t xml:space="preserve">Document post-MVP delays</x:t>
  </x:si>
  <x:si>
    <x:t xml:space="preserve">Keep live streaming, advanced chat, tipping, PPV, analytics, rec engine, extra themes, gamification out of MVP.</x:t>
  </x:si>
  <x:si>
    <x:t xml:space="preserve">MVP vs later items distinguished.</x:t>
  </x:si>
  <x:si>
    <x:t xml:space="preserve">Convert roadmap into phase plan</x:t>
  </x:si>
  <x:si>
    <x:t xml:space="preserve">Break work into design, build, test, beta, and launch phases.</x:t>
  </x:si>
  <x:si>
    <x:t xml:space="preserve">Set launch KPIs</x:t>
  </x:si>
  <x:si>
    <x:t xml:space="preserve">Define targets: creators onboarded, paid members, conversion, retention, bug rate.</x:t>
  </x:si>
  <x:si>
    <x:t xml:space="preserve">📋 Not Started</x:t>
  </x:si>
  <x:si>
    <x:t xml:space="preserve">Needed before beta/public launch.</x:t>
  </x:si>
  <x:si>
    <x:t xml:space="preserve">⚖️  PHASE 2 — Legal &amp; Compliance</x:t>
  </x:si>
  <x:si>
    <x:t xml:space="preserve">Draft Terms of Service</x:t>
  </x:si>
  <x:si>
    <x:t xml:space="preserve">Prepare terms governing platform use, NSFW content rules, user responsibilities, dispute resolution.</x:t>
  </x:si>
  <x:si>
    <x:t xml:space="preserve">🔄 In Progress</x:t>
  </x:si>
  <x:si>
    <x:t xml:space="preserve">Must exist before launch.</x:t>
  </x:si>
  <x:si>
    <x:t xml:space="preserve">Draft Privacy Policy</x:t>
  </x:si>
  <x:si>
    <x:t xml:space="preserve">Data collection, cookies, third-party sharing, CCPA/GDPR rights, data retention.</x:t>
  </x:si>
  <x:si>
    <x:t xml:space="preserve">Privacy layers discussed; formal draft needed.</x:t>
  </x:si>
  <x:si>
    <x:t xml:space="preserve">Draft Community / Platform Rules</x:t>
  </x:si>
  <x:si>
    <x:t xml:space="preserve">State permitted and prohibited activity clearly for creators and members.</x:t>
  </x:si>
  <x:si>
    <x:t xml:space="preserve">Required for moderation consistency.</x:t>
  </x:si>
  <x:si>
    <x:t xml:space="preserve">Draft Acceptable Use Policy</x:t>
  </x:si>
  <x:si>
    <x:t xml:space="preserve">No minors, no non-consensual content, no illegal material, no harassment.</x:t>
  </x:si>
  <x:si>
    <x:t xml:space="preserve">Separates from ToS for clarity and enforcement.</x:t>
  </x:si>
  <x:si>
    <x:t xml:space="preserve">Create DMCA Policy &amp; Takedown Process</x:t>
  </x:si>
  <x:si>
    <x:t xml:space="preserve">Copyright reporting form, designated agent, response procedures (17 USC §512).</x:t>
  </x:si>
  <x:si>
    <x:t xml:space="preserve">Required for content platforms.</x:t>
  </x:si>
  <x:si>
    <x:t xml:space="preserve">Implement 18 USC §2257 Recordkeeping</x:t>
  </x:si>
  <x:si>
    <x:t xml:space="preserve">Maintain age verification records for performers in sexually explicit content. Display §2257 compliance statement.</x:t>
  </x:si>
  <x:si>
    <x:t xml:space="preserve">Federal requirement for adult content platforms.</x:t>
  </x:si>
  <x:si>
    <x:t xml:space="preserve">Draft Cookie Policy &amp; Consent Banner</x:t>
  </x:si>
  <x:si>
    <x:t xml:space="preserve">Disclose cookie usage, purposes, opt-out. Implement consent UI (required for GDPR/ePrivacy).</x:t>
  </x:si>
  <x:si>
    <x:t xml:space="preserve">Required for EU visitors; best practice globally.</x:t>
  </x:si>
  <x:si>
    <x:t xml:space="preserve">Implement GDPR Compliance</x:t>
  </x:si>
  <x:si>
    <x:t xml:space="preserve">Right to access, deletion, data portability, consent management, DPA with processors.</x:t>
  </x:si>
  <x:si>
    <x:t xml:space="preserve">Required if serving EU users.</x:t>
  </x:si>
  <x:si>
    <x:t xml:space="preserve">Implement CCPA/CPRA Compliance</x:t>
  </x:si>
  <x:si>
    <x:t xml:space="preserve">'Do Not Sell' opt-out, privacy notice for CA residents, data deletion requests.</x:t>
  </x:si>
  <x:si>
    <x:t xml:space="preserve">Required if serving California users.</x:t>
  </x:si>
  <x:si>
    <x:t xml:space="preserve">Prepare Payment Provider Compliance Package</x:t>
  </x:si>
  <x:si>
    <x:t xml:space="preserve">Document policies/controls required by CCBill and Epoch for merchant onboarding.</x:t>
  </x:si>
  <x:si>
    <x:t xml:space="preserve">Draft Creator Agreement / Payout Terms</x:t>
  </x:si>
  <x:si>
    <x:t xml:space="preserve">Creator obligations: content ownership, tax (W-9/W-8BEN), payout terms, prohibited content.</x:t>
  </x:si>
  <x:si>
    <x:t xml:space="preserve">Needed before creator onboarding.</x:t>
  </x:si>
  <x:si>
    <x:t xml:space="preserve">Implement Visa/Mastercard BRAM Compliance</x:t>
  </x:si>
  <x:si>
    <x:t xml:space="preserve">Meet Brand Risk and Acquirer Monitoring requirements for adult merchants.</x:t>
  </x:si>
  <x:si>
    <x:t xml:space="preserve">Card network requirement for adult sites.</x:t>
  </x:si>
  <x:si>
    <x:t xml:space="preserve">Finalize Trademark Filing Plan</x:t>
  </x:si>
  <x:si>
    <x:t xml:space="preserve">Trademark timing/classes already considered.</x:t>
  </x:si>
  <x:si>
    <x:t xml:space="preserve">Finalize Domain Management</x:t>
  </x:si>
  <x:si>
    <x:t xml:space="preserve">Secure primary domains and variants (.com, .net, etc.).</x:t>
  </x:si>
  <x:si>
    <x:t xml:space="preserve">Domain strategy already considered.</x:t>
  </x:si>
  <x:si>
    <x:t xml:space="preserve">Address MD Business Registration Privacy</x:t>
  </x:si>
  <x:si>
    <x:t xml:space="preserve">Manage privacy concerns — MD biz records may expose personal identity linked to NSFW platform.</x:t>
  </x:si>
  <x:si>
    <x:t xml:space="preserve">Implement Accessibility Basics (ADA/WCAG)</x:t>
  </x:si>
  <x:si>
    <x:t xml:space="preserve">Alt text, keyboard navigation, contrast ratios, screen reader compatibility.</x:t>
  </x:si>
  <x:si>
    <x:t xml:space="preserve">Best practice; reduces legal risk.</x:t>
  </x:si>
  <x:si>
    <x:t xml:space="preserve">Draft Anti-Human Trafficking Policy</x:t>
  </x:si>
  <x:si>
    <x:t xml:space="preserve">Prohibit trafficking, exploitation, coercive content. Include reporting mechanisms and creator guidance.</x:t>
  </x:si>
  <x:si>
    <x:t xml:space="preserve">Draft Non-Consensual Content Policy</x:t>
  </x:si>
  <x:si>
    <x:t xml:space="preserve">Standalone policy prohibiting NCII. Define removal process, reporting path, and creator obligations.</x:t>
  </x:si>
  <x:si>
    <x:t xml:space="preserve">Must be its own doc for payment processor and Visa/MC BRAM review.</x:t>
  </x:si>
  <x:si>
    <x:t xml:space="preserve">Implement US Take It Down Act Compliance</x:t>
  </x:si>
  <x:si>
    <x:t xml:space="preserve">Written policy + removal workflow for non-consensual intimate images. Must action valid removal within 48 hours.</x:t>
  </x:si>
  <x:si>
    <x:t xml:space="preserve">Federal law signed 2025. Non-compliance is a federal offense.</x:t>
  </x:si>
  <x:si>
    <x:t xml:space="preserve">Draft Law Enforcement Request Policy</x:t>
  </x:si>
  <x:si>
    <x:t xml:space="preserve">Define process for handling government and LEA data requests — disclosure, legal basis, user notification.</x:t>
  </x:si>
  <x:si>
    <x:t xml:space="preserve">Commonly reviewed during CCBill/Epoch onboarding.</x:t>
  </x:si>
  <x:si>
    <x:t xml:space="preserve">Draft Appeals Policy</x:t>
  </x:si>
  <x:si>
    <x:t xml:space="preserve">Documented process for creators and members to appeal content removals, account suspensions, or payment holds.</x:t>
  </x:si>
  <x:si>
    <x:t xml:space="preserve">Needed before creator onboarding begins.</x:t>
  </x:si>
  <x:si>
    <x:t xml:space="preserve">Draft Complaint Policy</x:t>
  </x:si>
  <x:si>
    <x:t xml:space="preserve">Formal intake process for user complaints beyond DMCA — billing disputes, harassment, platform conduct.</x:t>
  </x:si>
  <x:si>
    <x:t xml:space="preserve">Best practice globally; supports EU DSA/P2B compliance.</x:t>
  </x:si>
  <x:si>
    <x:t xml:space="preserve">Draft Anti-Spam Policy</x:t>
  </x:si>
  <x:si>
    <x:t xml:space="preserve">Rules governing creator messaging to members, platform notifications, and marketing emails.</x:t>
  </x:si>
  <x:si>
    <x:t xml:space="preserve">Needed before the email/notification system goes live.</x:t>
  </x:si>
  <x:si>
    <x:t xml:space="preserve">Draft Platform-to-Business (P2B) Terms</x:t>
  </x:si>
  <x:si>
    <x:t xml:space="preserve">EU P2B regulation disclosure for creators — ranking criteria, access termination conditions, dispute options.</x:t>
  </x:si>
  <x:si>
    <x:t xml:space="preserve">Conditional on EU launch scope. Low effort to draft.</x:t>
  </x:si>
  <x:si>
    <x:t xml:space="preserve">🎨  PHASE 3 — Brand &amp; Design</x:t>
  </x:si>
  <x:si>
    <x:t xml:space="preserve">Finalize brand aesthetic &amp; color system</x:t>
  </x:si>
  <x:si>
    <x:t xml:space="preserve">Confirm pink / sakura visual direction and supporting palette.</x:t>
  </x:si>
  <x:si>
    <x:t xml:space="preserve">Brand direction established.</x:t>
  </x:si>
  <x:si>
    <x:t xml:space="preserve">Finalize logo / wordmark</x:t>
  </x:si>
  <x:si>
    <x:t xml:space="preserve">Lock minimal premium wordmark. Symbol: heart + sakura petal + heartbeat + rounded sans-serif.</x:t>
  </x:si>
  <x:si>
    <x:t xml:space="preserve">Direction exists; final asset lock not confirmed.</x:t>
  </x:si>
  <x:si>
    <x:t xml:space="preserve">Finalize homepage messaging</x:t>
  </x:si>
  <x:si>
    <x:t xml:space="preserve">Polish hero copy, value prop, marketing text. Avoid 'Softer'; feel inclusive, not creator-first.</x:t>
  </x:si>
  <x:si>
    <x:t xml:space="preserve">Draft messaging exists; final copy not confirmed.</x:t>
  </x:si>
  <x:si>
    <x:t xml:space="preserve">Define creator theme ladders</x:t>
  </x:si>
  <x:si>
    <x:t xml:space="preserve">Floral: Petal→Bloom→Sakura→Golden Sakura→Eternal Sakura. Ember: Ember→Ignite→Flare→Inferno→Eternal Flame.</x:t>
  </x:si>
  <x:si>
    <x:t xml:space="preserve">Theme ladder concepts defined.</x:t>
  </x:si>
  <x:si>
    <x:t xml:space="preserve">Build reusable design system</x:t>
  </x:si>
  <x:si>
    <x:t xml:space="preserve">Buttons, cards, tabs, modals, badges, pricing modules, feed cards, locked-content previews.</x:t>
  </x:si>
  <x:si>
    <x:t xml:space="preserve">Implied by active UI/front-end development.</x:t>
  </x:si>
  <x:si>
    <x:t xml:space="preserve">Finalize responsive / mobile layouts</x:t>
  </x:si>
  <x:si>
    <x:t xml:space="preserve">Ensure primary flows work cleanly on mobile and desktop.</x:t>
  </x:si>
  <x:si>
    <x:t xml:space="preserve">Design Founding Creator / Member badge program</x:t>
  </x:si>
  <x:si>
    <x:t xml:space="preserve">Define badge visuals, eligibility window (first N users or date window), locked-in fee reduction for Founding Creators, badge display on profiles and posts.</x:t>
  </x:si>
  <x:si>
    <x:t xml:space="preserve">First 500 creators get permanent Founding Creator badge + reduced platform commission. First 500 members get Founding Member badge + discount. Drives early community loyalty.</x:t>
  </x:si>
  <x:si>
    <x:t xml:space="preserve">🏗️  PHASE 4 — Backend &amp; Infrastructure</x:t>
  </x:si>
  <x:si>
    <x:t xml:space="preserve">Define AWS architecture</x:t>
  </x:si>
  <x:si>
    <x:t xml:space="preserve">EC2/ECS for app, RDS PostgreSQL for DB, Cloudflare R2 for media storage/CDN.</x:t>
  </x:si>
  <x:si>
    <x:t xml:space="preserve">AWS (app/DB) + Cloudflare R2 (media) confirmed.</x:t>
  </x:si>
  <x:si>
    <x:t xml:space="preserve">Set up Cloudflare R2 media storage</x:t>
  </x:si>
  <x:si>
    <x:t xml:space="preserve">Define RDS PostgreSQL schema</x:t>
  </x:si>
  <x:si>
    <x:t xml:space="preserve">Set up local / staging / prod environments</x:t>
  </x:si>
  <x:si>
    <x:t xml:space="preserve">Separate environments, secrets handling, .env management.</x:t>
  </x:si>
  <x:si>
    <x:t xml:space="preserve">Define API structure</x:t>
  </x:si>
  <x:si>
    <x:t xml:space="preserve">Map endpoints: auth, content, subscriptions, payments, moderation, admin, notifications.</x:t>
  </x:si>
  <x:si>
    <x:t xml:space="preserve">Implement logging &amp; monitoring</x:t>
  </x:si>
  <x:si>
    <x:t xml:space="preserve">Error tracking, structured logs, operational visibility (CloudWatch, Sentry).</x:t>
  </x:si>
  <x:si>
    <x:t xml:space="preserve">Implement backups &amp; recovery plan</x:t>
  </x:si>
  <x:si>
    <x:t xml:space="preserve">Automated RDS snapshots, R2 versioning, disaster recovery.</x:t>
  </x:si>
  <x:si>
    <x:t xml:space="preserve">Required for production readiness.</x:t>
  </x:si>
  <x:si>
    <x:t xml:space="preserve">Add rate limiting &amp; abuse protection</x:t>
  </x:si>
  <x:si>
    <x:t xml:space="preserve">Anti-scraping, anti-spam, brute-force protection, credential abuse.</x:t>
  </x:si>
  <x:si>
    <x:t xml:space="preserve">Set up CI/CD pipeline</x:t>
  </x:si>
  <x:si>
    <x:t xml:space="preserve">Automate testing and deployment from Git branches to staging/production.</x:t>
  </x:si>
  <x:si>
    <x:t xml:space="preserve">Configure SSL/TLS &amp; domain DNS</x:t>
  </x:si>
  <x:si>
    <x:t xml:space="preserve">HTTPS everywhere, DNS records, certificate management.</x:t>
  </x:si>
  <x:si>
    <x:t xml:space="preserve">Required for production.</x:t>
  </x:si>
  <x:si>
    <x:t xml:space="preserve">🔐  PHASE 5 — Accounts, Auth &amp; Roles</x:t>
  </x:si>
  <x:si>
    <x:t xml:space="preserve">Implement account creation &amp; login/logout</x:t>
  </x:si>
  <x:si>
    <x:t xml:space="preserve">Create working auth flows, not just screens.</x:t>
  </x:si>
  <x:si>
    <x:t xml:space="preserve">Implement creator/member/admin roles</x:t>
  </x:si>
  <x:si>
    <x:t xml:space="preserve">Role-based permissions and access boundaries.</x:t>
  </x:si>
  <x:si>
    <x:t xml:space="preserve">Implement session management</x:t>
  </x:si>
  <x:si>
    <x:t xml:space="preserve">Signed-in state, token/session renewal, logout behavior.</x:t>
  </x:si>
  <x:si>
    <x:t xml:space="preserve">Build onboarding flows</x:t>
  </x:si>
  <x:si>
    <x:t xml:space="preserve">First-run setup for creators (incl. theme selection: Floral/Ember) and members.</x:t>
  </x:si>
  <x:si>
    <x:t xml:space="preserve">Add 18+ entry gate &amp; age verification</x:t>
  </x:si>
  <x:si>
    <x:t xml:space="preserve">Consent gating and age/compliance checks at platform entry.</x:t>
  </x:si>
  <x:si>
    <x:t xml:space="preserve">Implement email verification</x:t>
  </x:si>
  <x:si>
    <x:t xml:space="preserve">Require email confirmation for new accounts.</x:t>
  </x:si>
  <x:si>
    <x:t xml:space="preserve">Implement password reset flow</x:t>
  </x:si>
  <x:si>
    <x:t xml:space="preserve">Secure forgot-password and recovery process.</x:t>
  </x:si>
  <x:si>
    <x:t xml:space="preserve">💻  PHASE 6 — Frontend &amp; UX</x:t>
  </x:si>
  <x:si>
    <x:t xml:space="preserve">Build homepage (logged-in feed)</x:t>
  </x:si>
  <x:si>
    <x:t xml:space="preserve">Implement the main logged-in home experience with heart story rail and Following/For You tabs.</x:t>
  </x:si>
  <x:si>
    <x:t xml:space="preserve">Feed page designed with heart rail and tab system. Functional layout confirmed.</x:t>
  </x:si>
  <x:si>
    <x:t xml:space="preserve">Build landing page</x:t>
  </x:si>
  <x:si>
    <x:t xml:space="preserve">Public-facing marketing/conversion page for new visitors.</x:t>
  </x:si>
  <x:si>
    <x:t xml:space="preserve">Auth/landing split screen complete. Raining hearts animation working. +18 checkbox present.</x:t>
  </x:si>
  <x:si>
    <x:t xml:space="preserve">Build creator profile pages</x:t>
  </x:si>
  <x:si>
    <x:t xml:space="preserve">Public creator profiles with plans, content previews, tier display, services tab, highlights.</x:t>
  </x:si>
  <x:si>
    <x:t xml:space="preserve">Profile page designed. Services tab, heart highlights, subscribe button visible.</x:t>
  </x:si>
  <x:si>
    <x:t xml:space="preserve">Build feed / discovery page</x:t>
  </x:si>
  <x:si>
    <x:t xml:space="preserve">Hybrid discovery feed: For You + Following tabs, heart story rail.</x:t>
  </x:si>
  <x:si>
    <x:t xml:space="preserve">Heart rail + Following/For You hybrid implemented in design.</x:t>
  </x:si>
  <x:si>
    <x:t xml:space="preserve">Build subscription / pricing page</x:t>
  </x:si>
  <x:si>
    <x:t xml:space="preserve">Tier display: Standard (Doki 1–3), Premium (Super Doki 1–2), Ultimate (Doki Legend).</x:t>
  </x:si>
  <x:si>
    <x:t xml:space="preserve">Part of the active front-end build.</x:t>
  </x:si>
  <x:si>
    <x:t xml:space="preserve">Build login / signup screens</x:t>
  </x:si>
  <x:si>
    <x:t xml:space="preserve">Account entry screens for creators and members.</x:t>
  </x:si>
  <x:si>
    <x:t xml:space="preserve">Implement story rail / For You model</x:t>
  </x:si>
  <x:si>
    <x:t xml:space="preserve">Translate the interaction/feed architecture into actual UI behavior.</x:t>
  </x:si>
  <x:si>
    <x:t xml:space="preserve">Implement locked-content previews</x:t>
  </x:si>
  <x:si>
    <x:t xml:space="preserve">Teasers and premium access states in cards and posts.</x:t>
  </x:si>
  <x:si>
    <x:t xml:space="preserve">Implement membership tier modules</x:t>
  </x:si>
  <x:si>
    <x:t xml:space="preserve">Doki / SuperDoki / Doki Legend plan modules on creator pages.</x:t>
  </x:si>
  <x:si>
    <x:t xml:space="preserve">Build Store page</x:t>
  </x:si>
  <x:si>
    <x:t xml:space="preserve">Pumdoki Store front-end (Git branch: Store).</x:t>
  </x:si>
  <x:si>
    <x:t xml:space="preserve">Build Connect page</x:t>
  </x:si>
  <x:si>
    <x:t xml:space="preserve">Social discovery front-end for session bookings (E-Chat, Voice Call, Video Call, Game With Me).</x:t>
  </x:si>
  <x:si>
    <x:t xml:space="preserve">Build Chat UI</x:t>
  </x:si>
  <x:si>
    <x:t xml:space="preserve">Implement NSFW +18 content toggle</x:t>
  </x:si>
  <x:si>
    <x:t xml:space="preserve">Build settings page</x:t>
  </x:si>
  <x:si>
    <x:t xml:space="preserve">Build help / support page</x:t>
  </x:si>
  <x:si>
    <x:t xml:space="preserve">Basic FAQ page with accordion answers + simple contact/support form routed to founder inbox.</x:t>
  </x:si>
  <x:si>
    <x:t xml:space="preserve">Plain and functional for MVP. Expands post-launch.</x:t>
  </x:si>
  <x:si>
    <x:t xml:space="preserve">Build 'Your Activity' page</x:t>
  </x:si>
  <x:si>
    <x:t xml:space="preserve">Improve Create Post ('Moments') modal</x:t>
  </x:si>
  <x:si>
    <x:t xml:space="preserve">Replace generic 'What's on your mind?' with Pumdoki-voice copy. Add locked/subscriber-only content state. Improve layout and brand feel.</x:t>
  </x:si>
  <x:si>
    <x:t xml:space="preserve">Basic modal exists. Needs Pumdoki language, locked content toggle, and improved visual polish.</x:t>
  </x:si>
  <x:si>
    <x:t xml:space="preserve">Improve side navigation drawer</x:t>
  </x:si>
  <x:si>
    <x:t xml:space="preserve">Make drawer slightly larger and use darker, more vibrant colors. Currently blends too much into the background — needs presence like Instagram's nav.</x:t>
  </x:si>
  <x:si>
    <x:t xml:space="preserve">Drawer functional but visually weak. Increase icon size, darken colors, improve active state.</x:t>
  </x:si>
  <x:si>
    <x:t xml:space="preserve">Fix chat: offline avatar + notification badge</x:t>
  </x:si>
  <x:si>
    <x:t xml:space="preserve">Show creator offline avatar/indicator when creator is offline. Show unread notification badge on minimized chat. Currently missing both.</x:t>
  </x:si>
  <x:si>
    <x:t xml:space="preserve">Chat functional but missing offline state and notification badge on minimized view.</x:t>
  </x:si>
  <x:si>
    <x:t xml:space="preserve">Build creator dashboard UI</x:t>
  </x:si>
  <x:si>
    <x:t xml:space="preserve">Creator-facing analytics dashboard: revenue chart, active subscribers, profile visits, live activity feed, revenue by source, top performing posts, top fans, quick actions.</x:t>
  </x:si>
  <x:si>
    <x:t xml:space="preserve">Improve landing page posts visuals</x:t>
  </x:si>
  <x:si>
    <x:t xml:space="preserve">Add a checkmark, a follow buttom, re-arrenge For You / Following and flip sides, add logic to For You (X inspired), </x:t>
  </x:si>
  <x:si>
    <x:t xml:space="preserve">Post visual already in place. Need to add more features and complex logic to the For You page</x:t>
  </x:si>
  <x:si>
    <x:t xml:space="preserve">📸  PHASE 7 — Content &amp; Media</x:t>
  </x:si>
  <x:si>
    <x:t xml:space="preserve">Define post / content model</x:t>
  </x:si>
  <x:si>
    <x:t xml:space="preserve">Creator posting, visibility flags (public/subscriber/tier-locked), member access rules.</x:t>
  </x:si>
  <x:si>
    <x:t xml:space="preserve">Core content object needs build.</x:t>
  </x:si>
  <x:si>
    <x:t xml:space="preserve">Build media upload pipeline</x:t>
  </x:si>
  <x:si>
    <x:t xml:space="preserve">Image/video upload → Cloudflare R2 storage → signed URL delivery.</x:t>
  </x:si>
  <x:si>
    <x:t xml:space="preserve">Launch-critical capability.</x:t>
  </x:si>
  <x:si>
    <x:t xml:space="preserve">Define public vs private asset rules</x:t>
  </x:si>
  <x:si>
    <x:t xml:space="preserve">Separate teaser, paid, and internal assets with signed URL gating.</x:t>
  </x:si>
  <x:si>
    <x:t xml:space="preserve">Needed for secure access gating.</x:t>
  </x:si>
  <x:si>
    <x:t xml:space="preserve">Implement media optimization</x:t>
  </x:si>
  <x:si>
    <x:t xml:space="preserve">Compress/transcode images and video (thumbnails, adaptive quality).</x:t>
  </x:si>
  <x:si>
    <x:t xml:space="preserve">Needed for smoother UX.</x:t>
  </x:si>
  <x:si>
    <x:t xml:space="preserve">Implement watermarking / content protection</x:t>
  </x:si>
  <x:si>
    <x:t xml:space="preserve">Visible + invisible watermarks to reduce re-sharing risk.</x:t>
  </x:si>
  <x:si>
    <x:t xml:space="preserve">Protection planning in scope.</x:t>
  </x:si>
  <x:si>
    <x:t xml:space="preserve">Build moderation review flow</x:t>
  </x:si>
  <x:si>
    <x:t xml:space="preserve">Flagged items reviewed and actioned by admin.</x:t>
  </x:si>
  <x:si>
    <x:t xml:space="preserve">Required for platform operations.</x:t>
  </x:si>
  <x:si>
    <x:t xml:space="preserve">💰  PHASE 8 — Payments &amp; Monetization</x:t>
  </x:si>
  <x:si>
    <x:t xml:space="preserve">Integrate CCBill (primary processor)</x:t>
  </x:si>
  <x:si>
    <x:t xml:space="preserve">Set up merchant account, API integration, webhook handling, subscription billing.</x:t>
  </x:si>
  <x:si>
    <x:t xml:space="preserve">Integrate Epoch (cascade fallback)</x:t>
  </x:si>
  <x:si>
    <x:t xml:space="preserve">Set up Epoch as secondary for transactions CCBill declines.</x:t>
  </x:si>
  <x:si>
    <x:t xml:space="preserve">Build payment cascading logic</x:t>
  </x:si>
  <x:si>
    <x:t xml:space="preserve">Route failed CCBill transactions automatically to Epoch before returning decline.</x:t>
  </x:si>
  <x:si>
    <x:t xml:space="preserve">Implement recurring subscription billing</x:t>
  </x:si>
  <x:si>
    <x:t xml:space="preserve">Create the actual subscription/payment flow through CCBill/Epoch.</x:t>
  </x:si>
  <x:si>
    <x:t xml:space="preserve">Build renewal / cancel logic</x:t>
  </x:si>
  <x:si>
    <x:t xml:space="preserve">Recurring billing state changes, grace periods, cancellations.</x:t>
  </x:si>
  <x:si>
    <x:t xml:space="preserve">Needed for subscription lifecycle.</x:t>
  </x:si>
  <x:si>
    <x:t xml:space="preserve">Tie access gating to subscription status</x:t>
  </x:si>
  <x:si>
    <x:t xml:space="preserve">Grant/revoke content access based on active payment state and tier.</x:t>
  </x:si>
  <x:si>
    <x:t xml:space="preserve">Critical premium access control.</x:t>
  </x:si>
  <x:si>
    <x:t xml:space="preserve">Define creator payouts flow</x:t>
  </x:si>
  <x:si>
    <x:t xml:space="preserve">Payout cadence (weekly/biweekly), ledger logic, minimums, admin handling.</x:t>
  </x:si>
  <x:si>
    <x:t xml:space="preserve">Needed once monetization is live.</x:t>
  </x:si>
  <x:si>
    <x:t xml:space="preserve">Define platform commission model</x:t>
  </x:si>
  <x:si>
    <x:t xml:space="preserve">Fee structure: platform take rate, creator share, member economics. Founding Creator exception rate must be defined.</x:t>
  </x:si>
  <x:si>
    <x:t xml:space="preserve">Implement chargeback &amp; dispute workflow</x:t>
  </x:si>
  <x:si>
    <x:t xml:space="preserve">Track chargebacks from CCBill/Epoch, alert admin, manage dispute responses.</x:t>
  </x:si>
  <x:si>
    <x:t xml:space="preserve">Plan crypto payment integration</x:t>
  </x:si>
  <x:si>
    <x:t xml:space="preserve">Research USDT/BTC path. Evaluate self-hosted vs third-party (NowPayments, PayRam).</x:t>
  </x:si>
  <x:si>
    <x:t xml:space="preserve">Deferred; planned as future payment rail.</x:t>
  </x:si>
  <x:si>
    <x:t xml:space="preserve">🛡️  PHASE 9 — Admin Dashboard &amp; Moderation</x:t>
  </x:si>
  <x:si>
    <x:t xml:space="preserve">Build admin overview / operations page</x:t>
  </x:si>
  <x:si>
    <x:t xml:space="preserve">Operational snapshot: total users, new signups today, active creators, revenue (gross/net), payout queue, content mod queue count, active flags.</x:t>
  </x:si>
  <x:si>
    <x:t xml:space="preserve">First page you see when logging into admin. Keeps you informed at a glance.</x:t>
  </x:si>
  <x:si>
    <x:t xml:space="preserve">Build users &amp; creators admin table</x:t>
  </x:si>
  <x:si>
    <x:t xml:space="preserve">Searchable table of all accounts. Filter by role (member/creator/admin). View status, join date, spend, earnings. Actions: warn, suspend, ban, verify.</x:t>
  </x:si>
  <x:si>
    <x:t xml:space="preserve">Core operational tool. Needed for day-1 operations.</x:t>
  </x:si>
  <x:si>
    <x:t xml:space="preserve">Build creator verification &amp; onboarding queue</x:t>
  </x:si>
  <x:si>
    <x:t xml:space="preserve">Review incoming creator applications. View submitted ID documents. Approve or reject. Log decision with reason. Trigger creator onboarding email.</x:t>
  </x:si>
  <x:si>
    <x:t xml:space="preserve">Build content moderation queue</x:t>
  </x:si>
  <x:si>
    <x:t xml:space="preserve">Queue of all flagged content sorted by severity. Actions: approve, remove, warn creator, escalate. Show content type, creator, flag reason, reporter.</x:t>
  </x:si>
  <x:si>
    <x:t xml:space="preserve">Especially important for NSFW operations. Will be high-volume once platform grows.</x:t>
  </x:si>
  <x:si>
    <x:t xml:space="preserve">Build reports handling workflow</x:t>
  </x:si>
  <x:si>
    <x:t xml:space="preserve">Route user/content reports into admin triage with severity levels (High / Medium / Low). Show open report count, type, and age.</x:t>
  </x:si>
  <x:si>
    <x:t xml:space="preserve">Needed for safety and operations.</x:t>
  </x:si>
  <x:si>
    <x:t xml:space="preserve">Build payments &amp; payouts admin view</x:t>
  </x:si>
  <x:si>
    <x:t xml:space="preserve">View all transactions, subscription events, payout queue. Manually trigger or block payouts. View CCBill/Epoch transaction IDs. Filter by date, creator, status.</x:t>
  </x:si>
  <x:si>
    <x:t xml:space="preserve">Build chargeback alert dashboard</x:t>
  </x:si>
  <x:si>
    <x:t xml:space="preserve">Build Founding Badge admin management</x:t>
  </x:si>
  <x:si>
    <x:t xml:space="preserve">View list of Founding Creators and Founding Members. Track how many slots remain. Assign or revoke badge manually if needed. Show badge count against cap.</x:t>
  </x:si>
  <x:si>
    <x:t xml:space="preserve">Required to manage the founder badge program. Badge count cap enforced here.</x:t>
  </x:si>
  <x:si>
    <x:t xml:space="preserve">Build admin platform settings panel</x:t>
  </x:si>
  <x:si>
    <x:t xml:space="preserve">Configure: platform commission rate, Founding Creator commission rate, NSFW content flags, feature flags (enable/disable features), payout minimums, maintenance mode.</x:t>
  </x:si>
  <x:si>
    <x:t xml:space="preserve">Gives you control over live platform behavior without code deploys.</x:t>
  </x:si>
  <x:si>
    <x:t xml:space="preserve">Implement 2257 compliance records admin</x:t>
  </x:si>
  <x:si>
    <x:t xml:space="preserve">View and manage age verification records submitted by creators. Link each creator to their ID verification doc. Must be accessible on demand for compliance audits.</x:t>
  </x:si>
  <x:si>
    <x:t xml:space="preserve">Federal requirement. Must be in place before any adult content goes live.</x:t>
  </x:si>
  <x:si>
    <x:t xml:space="preserve">Implement audit log</x:t>
  </x:si>
  <x:si>
    <x:t xml:space="preserve">Track all admin actions with timestamp, admin user, action type, and affected entity. Immutable log — no deleting entries.</x:t>
  </x:si>
  <x:si>
    <x:t xml:space="preserve">📊  PHASE 10 — Analytics, Support &amp; Notifications</x:t>
  </x:si>
  <x:si>
    <x:t xml:space="preserve">Define analytics event tracking</x:t>
  </x:si>
  <x:si>
    <x:t xml:space="preserve">Track signups, subscriptions, content views, conversions, churn signals.</x:t>
  </x:si>
  <x:si>
    <x:t xml:space="preserve">Build launch KPI dashboard</x:t>
  </x:si>
  <x:si>
    <x:t xml:space="preserve">Lightweight internal reporting view for admin.</x:t>
  </x:si>
  <x:si>
    <x:t xml:space="preserve">Needed to monitor launch health.</x:t>
  </x:si>
  <x:si>
    <x:t xml:space="preserve">Set up support / contact workflow</x:t>
  </x:si>
  <x:si>
    <x:t xml:space="preserve">Route issues to a manageable inbox (email-based initially).</x:t>
  </x:si>
  <x:si>
    <x:t xml:space="preserve">Needed for operational readiness.</x:t>
  </x:si>
  <x:si>
    <x:t xml:space="preserve">Create FAQ / help center content</x:t>
  </x:si>
  <x:si>
    <x:t xml:space="preserve">Common setup, billing, and policy answers.</x:t>
  </x:si>
  <x:si>
    <x:t xml:space="preserve">Useful before public launch.</x:t>
  </x:si>
  <x:si>
    <x:t xml:space="preserve">Implement notifications / email system</x:t>
  </x:si>
  <x:si>
    <x:t xml:space="preserve">Transactional emails (welcome, billing, reset) and platform notices via SES or Resend/Postmark.</x:t>
  </x:si>
  <x:si>
    <x:t xml:space="preserve">🚀  PHASE 11 — Creator Ops &amp; Go-To-Market</x:t>
  </x:si>
  <x:si>
    <x:t xml:space="preserve">Recruit initial creators</x:t>
  </x:si>
  <x:si>
    <x:t xml:space="preserve">Secure first launch or beta creators.</x:t>
  </x:si>
  <x:si>
    <x:t xml:space="preserve">Needed for a credible launch marketplace.</x:t>
  </x:si>
  <x:si>
    <x:t xml:space="preserve">Create creator onboarding docs</x:t>
  </x:si>
  <x:si>
    <x:t xml:space="preserve">How-to for setup, posting, pricing, tier themes, and policy.</x:t>
  </x:si>
  <x:si>
    <x:t xml:space="preserve">Helpful for beta and early launch.</x:t>
  </x:si>
  <x:si>
    <x:t xml:space="preserve">Define beta member invite list</x:t>
  </x:si>
  <x:si>
    <x:t xml:space="preserve">Choose initial users to test flows.</x:t>
  </x:si>
  <x:si>
    <x:t xml:space="preserve">Needed for private beta.</x:t>
  </x:si>
  <x:si>
    <x:t xml:space="preserve">Build waitlist / lead capture</x:t>
  </x:si>
  <x:si>
    <x:t xml:space="preserve">Collect early interest before public release.</x:t>
  </x:si>
  <x:si>
    <x:t xml:space="preserve">Useful for launch momentum.</x:t>
  </x:si>
  <x:si>
    <x:t xml:space="preserve">Create social launch content plan</x:t>
  </x:si>
  <x:si>
    <x:t xml:space="preserve">Posts, teasers, launch announcements.</x:t>
  </x:si>
  <x:si>
    <x:t xml:space="preserve">Needed before public launch.</x:t>
  </x:si>
  <x:si>
    <x:t xml:space="preserve">Define referral / affiliate plan</x:t>
  </x:si>
  <x:si>
    <x:t xml:space="preserve">Lightweight growth loop for early users.</x:t>
  </x:si>
  <x:si>
    <x:t xml:space="preserve">Can be simple but useful.</x:t>
  </x:si>
  <x:si>
    <x:t xml:space="preserve">Build Pumdoki Discord Server</x:t>
  </x:si>
  <x:si>
    <x:t xml:space="preserve">Marketing tool to build audience, recruit our first creators, and create a community. </x:t>
  </x:si>
  <x:si>
    <x:t xml:space="preserve">🧪  PHASE 12 — QA, Beta &amp; Launch</x:t>
  </x:si>
  <x:si>
    <x:t xml:space="preserve">Build internal QA checklist</x:t>
  </x:si>
  <x:si>
    <x:t xml:space="preserve">Turn roadmap into a structured test list.</x:t>
  </x:si>
  <x:si>
    <x:t xml:space="preserve">Plan private beta</x:t>
  </x:si>
  <x:si>
    <x:t xml:space="preserve">Define who tests, what gets tested, how feedback is captured.</x:t>
  </x:si>
  <x:si>
    <x:t xml:space="preserve">Recommended before public launch.</x:t>
  </x:si>
  <x:si>
    <x:t xml:space="preserve">Run end-to-end flow testing</x:t>
  </x:si>
  <x:si>
    <x:t xml:space="preserve">Test signup → content → subscription → gating → payout → admin.</x:t>
  </x:si>
  <x:si>
    <x:t xml:space="preserve">Needed after core build is ready.</x:t>
  </x:si>
  <x:si>
    <x:t xml:space="preserve">Run security review</x:t>
  </x:si>
  <x:si>
    <x:t xml:space="preserve">Auth, media access, role checks, secrets, signed URLs, abuse risks.</x:t>
  </x:si>
  <x:si>
    <x:t xml:space="preserve">Run payment flow testing</x:t>
  </x:si>
  <x:si>
    <x:t xml:space="preserve">CCBill → Epoch cascade, subscription lifecycle, renewal, cancel, chargebacks.</x:t>
  </x:si>
  <x:si>
    <x:t xml:space="preserve">Prepare soft-launch go/no-go checklist</x:t>
  </x:si>
  <x:si>
    <x:t xml:space="preserve">Define criteria for a limited launch.</x:t>
  </x:si>
  <x:si>
    <x:t xml:space="preserve">Useful before broad release.</x:t>
  </x:si>
  <x:si>
    <x:t xml:space="preserve">Prepare public launch checklist</x:t>
  </x:si>
  <x:si>
    <x:t xml:space="preserve">Confirm readiness: product, legal, payments, support, marketing.</x:t>
  </x:si>
  <x:si>
    <x:t xml:space="preserve">Final pre-launch checkpoint.</x:t>
  </x:si>
  <x:si>
    <x:t xml:space="preserve">Define post-launch bug triage process</x:t>
  </x:si>
  <x:si>
    <x:t xml:space="preserve">Severity rules and response rhythm for launch issues.</x:t>
  </x:si>
  <x:si>
    <x:t xml:space="preserve">Needed once public users arrive.</x:t>
  </x:si>
  <x:si>
    <x:t xml:space="preserve">Feature</x:t>
  </x:si>
  <x:si>
    <x:t xml:space="preserve">Category</x:t>
  </x:si>
  <x:si>
    <x:t xml:space="preserve">Why Later</x:t>
  </x:si>
  <x:si>
    <x:t xml:space="preserve">Priority</x:t>
  </x:si>
  <x:si>
    <x:t xml:space="preserve">Note</x:t>
  </x:si>
  <x:si>
    <x:t xml:space="preserve">Live streaming</x:t>
  </x:si>
  <x:si>
    <x:t xml:space="preserve">Engagement</x:t>
  </x:si>
  <x:si>
    <x:t xml:space="preserve">Delay until MVP stability and core monetization proven.</x:t>
  </x:si>
  <x:si>
    <x:t xml:space="preserve">Medium</x:t>
  </x:si>
  <x:si>
    <x:t xml:space="preserve">Explicitly deferred from MVP.</x:t>
  </x:si>
  <x:si>
    <x:t xml:space="preserve">Advanced chat / real-time messaging</x:t>
  </x:si>
  <x:si>
    <x:t xml:space="preserve">Tipping</x:t>
  </x:si>
  <x:si>
    <x:t xml:space="preserve">Monetization</x:t>
  </x:si>
  <x:si>
    <x:t xml:space="preserve">Pay-per-view content</x:t>
  </x:si>
  <x:si>
    <x:t xml:space="preserve">Advanced analytics</x:t>
  </x:si>
  <x:si>
    <x:t xml:space="preserve">Analytics</x:t>
  </x:si>
  <x:si>
    <x:t xml:space="preserve">Add richer creator/member analytics after launch.</x:t>
  </x:si>
  <x:si>
    <x:t xml:space="preserve">Recommendation engine</x:t>
  </x:si>
  <x:si>
    <x:t xml:space="preserve">Discovery</x:t>
  </x:si>
  <x:si>
    <x:t xml:space="preserve">Delay algorithmic rec until enough data exists.</x:t>
  </x:si>
  <x:si>
    <x:t xml:space="preserve">Low</x:t>
  </x:si>
  <x:si>
    <x:t xml:space="preserve">Design</x:t>
  </x:si>
  <x:si>
    <x:t xml:space="preserve">Ship two strong default themes first, then add premium ones.</x:t>
  </x:si>
  <x:si>
    <x:t xml:space="preserve">Additional premium themes deferred post-MVP.</x:t>
  </x:si>
  <x:si>
    <x:t xml:space="preserve">Heavy gamification (Oasis / Drimys)</x:t>
  </x:si>
  <x:si>
    <x:t xml:space="preserve">Crypto payments (USDT/BTC)</x:t>
  </x:si>
  <x:si>
    <x:t xml:space="preserve">Planned but deferred until fiat payments proven.</x:t>
  </x:si>
  <x:si>
    <x:t xml:space="preserve">Research: self-hosted vs NowPayments/PayRam.</x:t>
  </x:si>
  <x:si>
    <x:t xml:space="preserve">Pumdoki Premium (Nitro-style)</x:t>
  </x:si>
  <x:si>
    <x:t xml:space="preserve">Banners, medals, badges for any paying user.</x:t>
  </x:si>
  <x:si>
    <x:t xml:space="preserve">Similar to Discord Nitro.</x:t>
  </x:si>
  <x:si>
    <x:t xml:space="preserve">Creator verification badges</x:t>
  </x:si>
  <x:si>
    <x:t xml:space="preserve">Trust &amp; Safety</x:t>
  </x:si>
  <x:si>
    <x:t xml:space="preserve">Verified creator program with identity checks.</x:t>
  </x:si>
  <x:si>
    <x:t xml:space="preserve">Adds trust; defer until creator base grows.</x:t>
  </x:si>
  <x:si>
    <x:t xml:space="preserve">Mobile app (iOS / Android)</x:t>
  </x:si>
  <x:si>
    <x:t xml:space="preserve">Platform</x:t>
  </x:si>
  <x:si>
    <x:t xml:space="preserve">Native mobile after web platform is stable.</x:t>
  </x:si>
  <x:si>
    <x:t xml:space="preserve">High</x:t>
  </x:si>
  <x:si>
    <x:t xml:space="preserve">Web-first; mobile later.</x:t>
  </x:si>
  <x:si>
    <x:t xml:space="preserve">TikTok paid creator promotions</x:t>
  </x:si>
  <x:si>
    <x:t xml:space="preserve">Marketing</x:t>
  </x:si>
  <x:si>
    <x:t xml:space="preserve">Requires budget, live product, and something worth promoting. No point driving traffic before launch.</x:t>
  </x:si>
  <x:si>
    <x:t xml:space="preserve">Standard influencer marketing strategy. Frame campaigns as 'creator monetization platform' — avoid direct NSFW references to stay within TikTok ad policies. Revisit 1–2 months post-launch once conversion data exists.</x:t>
  </x:si>
  <x:si>
    <x:t xml:space="preserve">Kick platform integration / clipping strategy</x:t>
  </x:si>
  <x:si>
    <x:t xml:space="preserve">Partnerships</x:t>
  </x:si>
  <x:si>
    <x:t xml:space="preserve">Long-term scaling play requiring funding, an established creator base, and platform stability. Not a bootstrapped v1 move.</x:t>
  </x:si>
  <x:si>
    <x:t xml:space="preserve">Kick's permissive content policy makes it a natural partner platform long-term. Could drive creator and member acquisition at scale. Requires meaningful budget and an established Pumdoki audience first. Far-future item.</x:t>
  </x:si>
  <x:si>
    <x:t xml:space="preserve">Live streaming on Creator Dashboard</x:t>
  </x:si>
  <x:si>
    <x:t xml:space="preserve">"Re-enable the 'Live Streaming' feature by setting the conditional boolean to true, restoring both the sidebar navigation link and the main view component."</x:t>
  </x:si>
  <x:si>
    <x:t xml:space="preserve">Reactivate the livestream feature on the creator Dashboard after it's fully implemented on the website</x:t>
  </x:si>
  <x:si>
    <x:t xml:space="preserve">📝  Notes &amp; Assumptions</x:t>
  </x:si>
  <x:si>
    <x:t xml:space="preserve">Rule</x:t>
  </x:si>
  <x:si>
    <x:t xml:space="preserve">Detail</x:t>
  </x:si>
  <x:si>
    <x:t xml:space="preserve">1.0</x:t>
  </x:si>
  <x:si>
    <x:t xml:space="preserve">2.0</x:t>
  </x:si>
  <x:si>
    <x:t xml:space="preserve">✅ Done = clearly locked in prior planning or confirmed in recent discussions.</x:t>
  </x:si>
  <x:si>
    <x:t xml:space="preserve">3.0</x:t>
  </x:si>
  <x:si>
    <x:t xml:space="preserve">🔄 In Progress = explicitly underway or being organized/planned.</x:t>
  </x:si>
  <x:si>
    <x:t xml:space="preserve">4.0</x:t>
  </x:si>
  <x:si>
    <x:t xml:space="preserve">📋 Not Started = required for launch but not confirmed as underway.</x:t>
  </x:si>
  <x:si>
    <x:t xml:space="preserve">5.0</x:t>
  </x:si>
  <x:si>
    <x:t xml:space="preserve">Master Tracker focuses on MVP/launch needs; the Backlog sheet captures post-MVP features.</x:t>
  </x:si>
  <x:si>
    <x:t xml:space="preserve">6.0</x:t>
  </x:si>
  <x:si>
    <x:t xml:space="preserve">Upload to Google Sheets for online collaboration — add owners and dates there.</x:t>
  </x:si>
  <x:si>
    <x:t xml:space="preserve">7.0</x:t>
  </x:si>
  <x:si>
    <x:t xml:space="preserve">Suggested next use: filter by Not Started to decide immediate work.</x:t>
  </x:si>
  <x:si>
    <x:t xml:space="preserve">8.0</x:t>
  </x:si>
  <x:si>
    <x:t xml:space="preserve">Legal/compliance expanded with 8 additional tasks from LoyalFans March 2026 gap analysis.</x:t>
  </x:si>
  <x:si>
    <x:t xml:space="preserve">9.0</x:t>
  </x:si>
  <x:si>
    <x:t xml:space="preserve">Admin dashboard (Phase 9) expanded — 13 subtasks covering all operator tools needed for an adult content platform.</x:t>
  </x:si>
  <x:si>
    <x:t xml:space="preserve">10.0</x:t>
  </x:si>
  <x:si>
    <x:t xml:space="preserve">11.0</x:t>
  </x:si>
  <x:si>
    <x:t xml:space="preserve">12.0</x:t>
  </x:si>
  <x:si>
    <x:t xml:space="preserve">Founding Creator / Member badge program added to Phase 3 — first 500 creators get reduced commission + permanent badge.</x:t>
  </x:si>
  <x:si>
    <x:t xml:space="preserve">🌸 Known Context Captured</x:t>
  </x:si>
  <x:si>
    <x:t xml:space="preserve">•</x:t>
  </x:si>
  <x:si>
    <x:t xml:space="preserve">Brand: pink/sakura aesthetic. Pearl/off-white on soft sakura pink. Soft, dreamy, intimate, polished, premium.</x:t>
  </x:si>
  <x:si>
    <x:t xml:space="preserve">Logo: minimal heart + sakura petal + subtle heartbeat icon + rounded sans-serif wordmark.</x:t>
  </x:si>
  <x:si>
    <x:t xml:space="preserve">Motto: 'A space for creators, members, and real interaction.'</x:t>
  </x:si>
  <x:si>
    <x:t xml:space="preserve">Tiers: Standard Support (Doki 1, 2, 3), Premium Support (Super Doki 1, 2), Ultimate (Doki Legend).</x:t>
  </x:si>
  <x:si>
    <x:t xml:space="preserve">Creator themes: Floral (Petal→Bloom→Sakura→Golden Sakura→Eternal Sakura), Ember (Ember→Ignite→Flare→Inferno→Eternal Flame).</x:t>
  </x:si>
  <x:si>
    <x:t xml:space="preserve">Infrastructure: AWS for app layer + RDS PostgreSQL for database.</x:t>
  </x:si>
  <x:si>
    <x:t xml:space="preserve">Media storage/CDN: Cloudflare R2 (NSFW-safe, free egress, no restrictive AUP on legal adult content).</x:t>
  </x:si>
  <x:si>
    <x:t xml:space="preserve">Future payment rail: Crypto (USDT/BTC) — planned post-MVP.</x:t>
  </x:si>
  <x:si>
    <x:t xml:space="preserve">Pumdoki Premium: banners, medals, badges — like Discord Nitro, open to any paying user. Post-MVP.</x:t>
  </x:si>
  <x:si>
    <x:t xml:space="preserve">NSFW content allowed from day 1. +18 toggle required in settings and feed.</x:t>
  </x:si>
  <x:si>
    <x:t xml:space="preserve">Founding Creator/Member badge: first 500 creators = reduced fee + permanent badge. First 500 members = badge + discount.</x:t>
  </x:si>
  <x:si>
    <x:t xml:space="preserve">Git branches: Home, Landing, Store, Connect, Chat.</x:t>
  </x:si>
  <x:si>
    <x:t xml:space="preserve">Build style: visual/iterative — needs to see UI to know what to change.</x:t>
  </x:si>
  <x:si>
    <x:t xml:space="preserve">Privacy concern: Maryland biz records may expose identity linked to NSFW platform.</x:t>
  </x:si>
  <x:si>
    <x:t xml:space="preserve">Feed/story: heart story rail + For You/Following tabs confirmed in design.</x:t>
  </x:si>
  <x:si>
    <x:t xml:space="preserve">Homepage messaging avoids 'Softer'; should feel for everyone, not creator-first.</x:t>
  </x:si>
  <x:si>
    <x:t xml:space="preserve">Company structure: LLC recommended (US adult platforms standard). Epal, Fansly = LLC. OnlyFans = UK Ltd.</x:t>
  </x:si>
  <x:si>
    <x:t xml:space="preserve">Legal must be drafted BEFORE first creator is onboarded — not just before public launch.</x:t>
  </x:si>
  <x:si>
    <x:t xml:space="preserve">💸  Pumdoki — Expense &amp; Cost Tracker</x:t>
  </x:si>
  <x:si>
    <x:t xml:space="preserve">Item</x:t>
  </x:si>
  <x:si>
    <x:t xml:space="preserve">Type</x:t>
  </x:si>
  <x:si>
    <x:t xml:space="preserve">Estimated Cost</x:t>
  </x:si>
  <x:si>
    <x:t xml:space="preserve">Actual Cost</x:t>
  </x:si>
  <x:si>
    <x:t xml:space="preserve">Frequency</x:t>
  </x:si>
  <x:si>
    <x:t xml:space="preserve">🏦  ONE-TIME / SETUP COSTS</x:t>
  </x:si>
  <x:si>
    <x:t xml:space="preserve">CCBill Visa Registration Fee</x:t>
  </x:si>
  <x:si>
    <x:t xml:space="preserve">Payments</x:t>
  </x:si>
  <x:si>
    <x:t xml:space="preserve">One-time</x:t>
  </x:si>
  <x:si>
    <x:t xml:space="preserve">Once</x:t>
  </x:si>
  <x:si>
    <x:t xml:space="preserve">📋 Not Paid</x:t>
  </x:si>
  <x:si>
    <x:t xml:space="preserve">Required for US merchants to process Visa.</x:t>
  </x:si>
  <x:si>
    <x:t xml:space="preserve">CCBill Mastercard Registration Fee</x:t>
  </x:si>
  <x:si>
    <x:t xml:space="preserve">Required for US merchants to process MC.</x:t>
  </x:si>
  <x:si>
    <x:t xml:space="preserve">Epoch Setup Fee</x:t>
  </x:si>
  <x:si>
    <x:t xml:space="preserve">Typically free — Epoch acts as merchant of record.</x:t>
  </x:si>
  <x:si>
    <x:t xml:space="preserve">USPTO Trademark — 'Pumdoki'</x:t>
  </x:si>
  <x:si>
    <x:t xml:space="preserve">Legal</x:t>
  </x:si>
  <x:si>
    <x:t xml:space="preserve">Per class (IC 009, 035, 042). May need 2–3 classes.</x:t>
  </x:si>
  <x:si>
    <x:t xml:space="preserve">Registered Agent (annual)</x:t>
  </x:si>
  <x:si>
    <x:t xml:space="preserve">Annual</x:t>
  </x:si>
  <x:si>
    <x:t xml:space="preserve">Yearly</x:t>
  </x:si>
  <x:si>
    <x:t xml:space="preserve">Privacy shield for MD biz records. ~$100–150/yr.</x:t>
  </x:si>
  <x:si>
    <x:t xml:space="preserve">Domain Purchase (.com)</x:t>
  </x:si>
  <x:si>
    <x:t xml:space="preserve">Infrastructure</x:t>
  </x:si>
  <x:si>
    <x:t xml:space="preserve">Primary domain.</x:t>
  </x:si>
  <x:si>
    <x:t xml:space="preserve">Domain Variants (.net, .io)</x:t>
  </x:si>
  <x:si>
    <x:t xml:space="preserve">Optional — protect brand.</x:t>
  </x:si>
  <x:si>
    <x:t xml:space="preserve">📆  MONTHLY / RECURRING COSTS</x:t>
  </x:si>
  <x:si>
    <x:t xml:space="preserve">AWS EC2 (t3.small → t3.medium)</x:t>
  </x:si>
  <x:si>
    <x:t xml:space="preserve">Monthly</x:t>
  </x:si>
  <x:si>
    <x:t xml:space="preserve">Start small ($15–18), scale to medium ($30–35).</x:t>
  </x:si>
  <x:si>
    <x:t xml:space="preserve">AWS RDS PostgreSQL (db.t3.micro)</x:t>
  </x:si>
  <x:si>
    <x:t xml:space="preserve">Free tier covers 12 months if new AWS account.</x:t>
  </x:si>
  <x:si>
    <x:t xml:space="preserve">Cloudflare R2 Storage</x:t>
  </x:si>
  <x:si>
    <x:t xml:space="preserve">10GB free. $0.015/GB/mo after. Egress is free.</x:t>
  </x:si>
  <x:si>
    <x:t xml:space="preserve">Cloudflare R2 Operations</x:t>
  </x:si>
  <x:si>
    <x:t xml:space="preserve">10M Class B reads/mo free. Minimal at launch.</x:t>
  </x:si>
  <x:si>
    <x:t xml:space="preserve">SSL/TLS Certificate</x:t>
  </x:si>
  <x:si>
    <x:t xml:space="preserve">Free via Cloudflare or Let's Encrypt.</x:t>
  </x:si>
  <x:si>
    <x:t xml:space="preserve">Email Service (SES / Resend)</x:t>
  </x:si>
  <x:si>
    <x:t xml:space="preserve">SES: ~$0.10/1K emails. Free tier covers early use.</x:t>
  </x:si>
  <x:si>
    <x:t xml:space="preserve">Error Tracking (Sentry free tier)</x:t>
  </x:si>
  <x:si>
    <x:t xml:space="preserve">Free for 5K events/mo. Enough for launch.</x:t>
  </x:si>
  <x:si>
    <x:t xml:space="preserve">📊  PER-TRANSACTION COSTS (Variable)</x:t>
  </x:si>
  <x:si>
    <x:t xml:space="preserve">CCBill Transaction Fee</x:t>
  </x:si>
  <x:si>
    <x:t xml:space="preserve">Per-transaction</x:t>
  </x:si>
  <x:si>
    <x:t xml:space="preserve">Per txn</x:t>
  </x:si>
  <x:si>
    <x:t xml:space="preserve">Variable</x:t>
  </x:si>
  <x:si>
    <x:t xml:space="preserve">~10–14% per transaction. High-risk adult rate.</x:t>
  </x:si>
  <x:si>
    <x:t xml:space="preserve">Epoch Transaction Fee</x:t>
  </x:si>
  <x:si>
    <x:t xml:space="preserve">~10–15% per transaction on cascaded payments.</x:t>
  </x:si>
  <x:si>
    <x:t xml:space="preserve">CCBill Chargeback Fee</x:t>
  </x:si>
  <x:si>
    <x:t xml:space="preserve">Per event</x:t>
  </x:si>
  <x:si>
    <x:t xml:space="preserve">Varies. Budget ~$20–25 per chargeback.</x:t>
  </x:si>
  <x:si>
    <x:t xml:space="preserve">🔮  OPTIONAL / FUTURE COSTS</x:t>
  </x:si>
  <x:si>
    <x:t xml:space="preserve">Crypto Payment Gateway</x:t>
  </x:si>
  <x:si>
    <x:t xml:space="preserve">Deferred</x:t>
  </x:si>
  <x:si>
    <x:t xml:space="preserve">Post-MVP. NowPayments ~1%/txn. Self-hosted = free.</x:t>
  </x:si>
  <x:si>
    <x:t xml:space="preserve">Content Watermarking Service</x:t>
  </x:si>
  <x:si>
    <x:t xml:space="preserve">Tools</x:t>
  </x:si>
  <x:si>
    <x:t xml:space="preserve">Evaluate after launch. May build in-house.</x:t>
  </x:si>
  <x:si>
    <x:t xml:space="preserve">DMCA Takedown Service</x:t>
  </x:si>
  <x:si>
    <x:t xml:space="preserve">Optional. Handle manually at first.</x:t>
  </x:si>
  <x:si>
    <x:t xml:space="preserve">📋  COST SUMMARY</x:t>
  </x:si>
  <x:si>
    <x:t xml:space="preserve">Estimated One-Time Total</x:t>
  </x:si>
  <x:si>
    <x:t xml:space="preserve">Estimated Annual Total</x:t>
  </x:si>
  <x:si>
    <x:t xml:space="preserve">Estimated Monthly Total (launch)</x:t>
  </x:si>
  <x:si>
    <x:t xml:space="preserve">Estimated Year 1 Total</x:t>
  </x:si>
  <x:si>
    <x:t xml:space="preserve">🌸  Pumdoki Master Build Tracker</x:t>
  </x:si>
  <x:si>
    <x:t xml:space="preserve">Google Sheets-compatible workbook built from existing Pumdoki planning context.</x:t>
  </x:si>
  <x:si>
    <x:t xml:space="preserve">📋 MVP Tracker Summary</x:t>
  </x:si>
  <x:si>
    <x:t xml:space="preserve">📦 Post-MVP Backlog</x:t>
  </x:si>
  <x:si>
    <x:t xml:space="preserve">Total MVP tasks</x:t>
  </x:si>
  <x:si>
    <x:t xml:space="preserve">Total backlog items</x:t>
  </x:si>
  <x:si>
    <x:t xml:space="preserve">% Complete</x:t>
  </x:si>
  <x:si>
    <x:t xml:space="preserve">Status legend</x:t>
  </x:si>
  <x:si>
    <x:t xml:space="preserve">Project notes</x:t>
  </x:si>
  <x:si>
    <x:t xml:space="preserve">• Items without clear evidence of completion defaulted to Not Started.</x:t>
  </x:si>
  <x:si>
    <x:t xml:space="preserve">• Use the Master Tracker sheet as the working project manager view.</x:t>
  </x:si>
  <x:si>
    <x:t xml:space="preserve">• Upload this .xlsx to Google Sheets for online collaboration.</x:t>
  </x:si>
  <x:si>
    <x:t xml:space="preserve">• Infra locked: AWS (app/DB) + Cloudflare R2 (media).</x:t>
  </x:si>
  <x:si>
    <x:t xml:space="preserve">• Payments locked: CCBill (primary) + Epoch (cascade/fallback).</x:t>
  </x:si>
  <x:si>
    <x:t xml:space="preserve">• Future: Crypto payments (USDT/BTC) planned post-MVP.</x:t>
  </x:si>
</x:sst>
</file>

<file path=xl/styles.xml><?xml version="1.0" encoding="utf-8"?>
<x:styleSheet xmlns:x="http://schemas.openxmlformats.org/spreadsheetml/2006/main">
  <x:numFmts count="8">
    <x:numFmt numFmtId="164" formatCode="0.0%"/>
    <x:numFmt numFmtId="165" formatCode="\$#,##0"/>
    <x:numFmt numFmtId="200" formatCode="yyyy-mm-dd"/>
    <x:numFmt numFmtId="201" formatCode="&quot;$&quot;#,##0"/>
    <x:numFmt numFmtId="202" formatCode="0"/>
    <x:numFmt numFmtId="203" formatCode="&quot;$&quot;0.00"/>
    <x:numFmt numFmtId="204" formatCode="0%"/>
    <x:numFmt numFmtId="205" formatCode="$#,##0.00"/>
  </x:numFmts>
  <x:fonts count="31">
    <x:font>
      <x:sz val="11"/>
      <x:color theme="1"/>
      <x:name val="Calibri"/>
    </x:font>
    <x:font>
      <x:b/>
      <x:sz val="16"/>
      <x:color rgb="FFFFFFFF"/>
      <x:name val="Arial"/>
    </x:font>
    <x:font/>
    <x:font>
      <x:sz val="11"/>
      <x:color rgb="FF666666"/>
      <x:name val="Arial"/>
    </x:font>
    <x:font>
      <x:b/>
      <x:sz val="12"/>
      <x:color rgb="FF3D1A3E"/>
      <x:name val="Arial"/>
    </x:font>
    <x:font>
      <x:b/>
      <x:sz val="11"/>
      <x:color theme="1"/>
      <x:name val="Arial"/>
    </x:font>
    <x:font>
      <x:sz val="10"/>
      <x:color rgb="FF444444"/>
      <x:name val="Arial"/>
    </x:font>
    <x:font>
      <x:color theme="1"/>
      <x:name val="Calibri"/>
    </x:font>
    <x:font>
      <x:sz val="11"/>
      <x:color rgb="FFD85A8C"/>
      <x:name val="Arial"/>
    </x:font>
    <x:font>
      <x:b/>
      <x:sz val="11"/>
      <x:color rgb="FFFFFFFF"/>
      <x:name val="Arial"/>
    </x:font>
    <x:font>
      <x:b/>
      <x:sz val="12"/>
      <x:color rgb="FFFFFFFF"/>
      <x:name val="Arial"/>
    </x:font>
    <x:font>
      <x:b/>
      <x:sz val="11"/>
      <x:color rgb="FF000000"/>
      <x:name val="Arial"/>
    </x:font>
    <x:font>
      <x:sz val="11"/>
      <x:color theme="1"/>
      <x:name val="Arial"/>
    </x:font>
    <x:font>
      <x:b/>
      <x:color theme="1"/>
      <x:name val="Arial"/>
    </x:font>
    <x:font>
      <x:color theme="1"/>
      <x:name val="Arial"/>
    </x:font>
    <x:font>
      <x:b/>
      <x:color theme="1"/>
      <x:name val="Calibri"/>
    </x:font>
    <x:font>
      <x:color rgb="FF000000"/>
      <x:name val="Calibri"/>
    </x:font>
    <x:font>
      <x:sz val="11"/>
      <x:color rgb="FF000000"/>
      <x:name val="Calibri"/>
    </x:font>
    <x:font>
      <x:b/>
      <x:sz val="16"/>
      <x:color rgb="FFFFFFFF"/>
      <x:name val="Calibri"/>
    </x:font>
    <x:font>
      <x:sz val="10"/>
      <x:color rgb="FF6B5A68"/>
      <x:name val="Calibri"/>
    </x:font>
    <x:font>
      <x:b/>
      <x:sz val="10"/>
      <x:color rgb="FFFFFFFF"/>
      <x:name val="Calibri"/>
    </x:font>
    <x:font>
      <x:sz val="9"/>
      <x:color rgb="FF2A1B2B"/>
      <x:name val="Calibri"/>
    </x:font>
    <x:font>
      <x:b/>
      <x:sz val="11"/>
      <x:color rgb="FFFFFFFF"/>
      <x:name val="Calibri"/>
    </x:font>
    <x:font>
      <x:b/>
      <x:sz val="10"/>
      <x:color rgb="FF3D1A3E"/>
      <x:name val="Calibri"/>
    </x:font>
    <x:font>
      <x:b/>
      <x:sz val="16"/>
      <x:color rgb="FF3D1A3E"/>
      <x:name val="Calibri"/>
    </x:font>
    <x:font>
      <x:sz val="11"/>
      <x:color rgb="FF28232A"/>
      <x:name val="Arial"/>
    </x:font>
    <x:font>
      <x:b/>
      <x:sz val="17"/>
      <x:color rgb="FF412042"/>
      <x:name val="Arial"/>
    </x:font>
    <x:font>
      <x:sz val="11"/>
      <x:color rgb="FF24539A"/>
      <x:name val="Arial"/>
    </x:font>
    <x:font>
      <x:b/>
      <x:sz val="11"/>
      <x:color rgb="FF28232A"/>
      <x:name val="Arial"/>
    </x:font>
    <x:font>
      <x:b/>
      <x:sz val="10"/>
      <x:color theme="1"/>
      <x:name val="Arial"/>
    </x:font>
    <x:font>
      <x:sz val="9"/>
      <x:color rgb="FF9C0006"/>
      <x:name val="Calibri"/>
    </x:font>
  </x:fonts>
  <x:fills count="24">
    <x:fill>
      <x:patternFill patternType="none"/>
    </x:fill>
    <x:fill>
      <x:patternFill patternType="lightGray"/>
    </x:fill>
    <x:fill>
      <x:patternFill patternType="solid">
        <x:fgColor rgb="FF3D1A3E"/>
      </x:patternFill>
    </x:fill>
    <x:fill>
      <x:patternFill patternType="solid">
        <x:fgColor rgb="FFFAE1EC"/>
      </x:patternFill>
    </x:fill>
    <x:fill>
      <x:patternFill patternType="solid">
        <x:fgColor rgb="FFFFFFFF"/>
      </x:patternFill>
    </x:fill>
    <x:fill>
      <x:patternFill patternType="solid">
        <x:fgColor rgb="FFD85A8C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3D1A3E"/>
      </x:patternFill>
    </x:fill>
    <x:fill>
      <x:patternFill patternType="solid">
        <x:fgColor rgb="FFFAE1EC"/>
      </x:patternFill>
    </x:fill>
    <x:fill>
      <x:patternFill patternType="solid">
        <x:fgColor rgb="FFD85A8C"/>
      </x:patternFill>
    </x:fill>
    <x:fill>
      <x:patternFill patternType="solid">
        <x:fgColor rgb="FFF3C7D8"/>
      </x:patternFill>
    </x:fill>
    <x:fill>
      <x:patternFill patternType="solid">
        <x:fgColor rgb="FFFFFFFF"/>
      </x:patternFill>
    </x:fill>
    <x:fill>
      <x:patternFill patternType="solid">
        <x:fgColor rgb="FF412042"/>
      </x:patternFill>
    </x:fill>
    <x:fill>
      <x:patternFill patternType="solid">
        <x:fgColor rgb="FFFFF4D6"/>
      </x:patternFill>
    </x:fill>
    <x:fill>
      <x:patternFill patternType="solid">
        <x:fgColor rgb="FFF9E4E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C7CE"/>
      </x:patternFill>
    </x:fill>
    <x:fill>
      <x:patternFill patternType="solid">
        <x:fgColor rgb="FFFFF2CC"/>
      </x:patternFill>
    </x:fill>
  </x:fills>
  <x:borders count="18">
    <x:border/>
    <x:border/>
    <x:border/>
    <x:border/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</x:border>
    <x:border>
      <x:left style="thin">
        <x:color rgb="FFCCCCCC"/>
      </x:left>
      <x:right style="thin">
        <x:color rgb="FFCCCCCC"/>
      </x:right>
      <x:bottom style="thin">
        <x:color rgb="FFCCCCCC"/>
      </x:bottom>
    </x:border>
    <x:border>
      <x:left style="thin">
        <x:color rgb="FFCCCCCC"/>
      </x:left>
      <x:right style="thin">
        <x:color rgb="FFCCCCCC"/>
      </x:right>
    </x:border>
    <x:border>
      <x:left style="thin">
        <x:color rgb="FFD9C7D3"/>
      </x:left>
      <x:right style="thin">
        <x:color rgb="FFD9C7D3"/>
      </x:right>
      <x:top style="thin">
        <x:color rgb="FFD9C7D3"/>
      </x:top>
      <x:bottom style="thin">
        <x:color rgb="FFD9C7D3"/>
      </x:bottom>
    </x:border>
    <x:border>
      <x:bottom style="thin">
        <x:color rgb="FFD9C7D3"/>
      </x:bottom>
    </x:border>
    <x:border>
      <x:top style="thin">
        <x:color rgb="FFD9C7D3"/>
      </x:top>
      <x:bottom style="thin">
        <x:color rgb="FFD9C7D3"/>
      </x:bottom>
    </x:border>
    <x:border>
      <x:left style="thin">
        <x:color rgb="FFD9C7D3"/>
      </x:left>
      <x:top style="thin">
        <x:color rgb="FFD9C7D3"/>
      </x:top>
      <x:bottom style="thin">
        <x:color rgb="FFD9C7D3"/>
      </x:bottom>
    </x:border>
    <x:border>
      <x:right style="thin">
        <x:color rgb="FFD9C7D3"/>
      </x:right>
      <x:top style="thin">
        <x:color rgb="FFD9C7D3"/>
      </x:top>
      <x:bottom style="thin">
        <x:color rgb="FFD9C7D3"/>
      </x:bottom>
    </x:border>
    <x:border>
      <x:left style="thin">
        <x:color rgb="FFD9C7D3"/>
      </x:left>
      <x:top style="thin">
        <x:color rgb="FFD9C7D3"/>
      </x:top>
    </x:border>
    <x:border>
      <x:right style="thin">
        <x:color rgb="FFD9C7D3"/>
      </x:right>
      <x:top style="thin">
        <x:color rgb="FFD9C7D3"/>
      </x:top>
    </x:border>
    <x:border>
      <x:left style="thin">
        <x:color rgb="FFD9C7D3"/>
      </x:left>
      <x:bottom style="thin">
        <x:color rgb="FFD9C7D3"/>
      </x:bottom>
    </x:border>
    <x:border>
      <x:right style="thin">
        <x:color rgb="FFD9C7D3"/>
      </x:right>
      <x:bottom style="thin">
        <x:color rgb="FFD9C7D3"/>
      </x:bottom>
    </x:border>
  </x:borders>
  <x:cellStyleXfs count="1">
    <x:xf numFmtId="0" fontId="0" fillId="0" borderId="0" applyFont="1" applyAlignment="1"/>
  </x:cellStyleXfs>
  <x:cellXfs count="221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0"/>
    </x:xf>
    <x:xf numFmtId="0" fontId="2" fillId="0" borderId="2" xfId="0" applyFont="1" applyBorder="1"/>
    <x:xf numFmtId="0" fontId="2" fillId="0" borderId="3" xfId="0" applyFont="1" applyBorder="1"/>
    <x:xf numFmtId="0" fontId="3" fillId="3" borderId="1" xfId="0" applyFont="1" applyFill="1" applyBorder="1" applyAlignment="1">
      <x:alignment horizontal="center" vertical="center" wrapText="0"/>
    </x:xf>
    <x:xf numFmtId="0" fontId="4" fillId="0" borderId="0" xfId="0" applyFont="1" applyAlignment="1">
      <x:alignment vertical="bottom" wrapText="0"/>
    </x:xf>
    <x:xf numFmtId="0" fontId="5" fillId="3" borderId="4" xfId="0" applyFont="1" applyBorder="1" applyAlignment="1">
      <x:alignment vertical="bottom" wrapText="0"/>
    </x:xf>
    <x:xf numFmtId="0" fontId="5" fillId="4" borderId="4" xfId="0" applyFont="1" applyFill="1" applyBorder="1" applyAlignment="1">
      <x:alignment vertical="bottom" wrapText="0"/>
    </x:xf>
    <x:xf numFmtId="164" fontId="5" fillId="3" borderId="4" xfId="0" applyNumberFormat="1" applyFont="1" applyBorder="1" applyAlignment="1">
      <x:alignment vertical="bottom" wrapText="0"/>
    </x:xf>
    <x:xf numFmtId="0" fontId="5" fillId="0" borderId="0" xfId="0" applyFont="1" applyAlignment="1">
      <x:alignment vertical="bottom" wrapText="0"/>
    </x:xf>
    <x:xf numFmtId="0" fontId="6" fillId="0" borderId="0" xfId="0" applyFont="1" applyAlignment="1">
      <x:alignment vertical="bottom" wrapText="0"/>
    </x:xf>
    <x:xf numFmtId="0" fontId="7" fillId="0" borderId="0" xfId="0" applyFont="1" applyAlignment="1"/>
    <x:xf numFmtId="0" fontId="5" fillId="4" borderId="5" xfId="0" applyFont="1" applyBorder="1" applyAlignment="1">
      <x:alignment horizontal="center" vertical="center" wrapText="0"/>
    </x:xf>
    <x:xf numFmtId="0" fontId="8" fillId="3" borderId="1" xfId="0" applyFont="1" applyBorder="1" applyAlignment="1">
      <x:alignment horizontal="center" vertical="center" wrapText="0"/>
    </x:xf>
    <x:xf numFmtId="0" fontId="9" fillId="5" borderId="5" xfId="0" applyFont="1" applyFill="1" applyBorder="1" applyAlignment="1">
      <x:alignment horizontal="center" vertical="center" wrapText="0"/>
    </x:xf>
    <x:xf numFmtId="0" fontId="10" fillId="2" borderId="1" xfId="0" applyFont="1" applyBorder="1" applyAlignment="1">
      <x:alignment horizontal="left" vertical="center" wrapText="0"/>
    </x:xf>
    <x:xf numFmtId="0" fontId="11" fillId="4" borderId="5" xfId="0" applyFont="1" applyBorder="1" applyAlignment="1">
      <x:alignment horizontal="left" vertical="center" wrapText="1"/>
    </x:xf>
    <x:xf numFmtId="0" fontId="12" fillId="4" borderId="5" xfId="0" applyFont="1" applyBorder="1" applyAlignment="1">
      <x:alignment horizontal="left" vertical="center" wrapText="1"/>
    </x:xf>
    <x:xf numFmtId="0" fontId="5" fillId="6" borderId="5" xfId="0" applyFont="1" applyFill="1" applyBorder="1" applyAlignment="1">
      <x:alignment horizontal="center" vertical="center" wrapText="0"/>
    </x:xf>
    <x:xf numFmtId="0" fontId="6" fillId="4" borderId="5" xfId="0" applyFont="1" applyBorder="1" applyAlignment="1">
      <x:alignment horizontal="left" vertical="center" wrapText="1"/>
    </x:xf>
    <x:xf numFmtId="0" fontId="11" fillId="3" borderId="5" xfId="0" applyFont="1" applyBorder="1" applyAlignment="1">
      <x:alignment horizontal="left" vertical="center" wrapText="1"/>
    </x:xf>
    <x:xf numFmtId="0" fontId="12" fillId="3" borderId="5" xfId="0" applyFont="1" applyBorder="1" applyAlignment="1">
      <x:alignment horizontal="left" vertical="center" wrapText="1"/>
    </x:xf>
    <x:xf numFmtId="0" fontId="6" fillId="3" borderId="5" xfId="0" applyFont="1" applyBorder="1" applyAlignment="1">
      <x:alignment horizontal="left" vertical="center" wrapText="1"/>
    </x:xf>
    <x:xf numFmtId="0" fontId="5" fillId="7" borderId="5" xfId="0" applyFont="1" applyFill="1" applyBorder="1" applyAlignment="1">
      <x:alignment horizontal="center" vertical="center" wrapText="0"/>
    </x:xf>
    <x:xf numFmtId="0" fontId="5" fillId="8" borderId="5" xfId="0" applyFont="1" applyFill="1" applyBorder="1" applyAlignment="1">
      <x:alignment horizontal="center" vertical="center" wrapText="0"/>
    </x:xf>
    <x:xf numFmtId="0" fontId="11" fillId="3" borderId="5" xfId="0" applyFont="1" applyBorder="1" applyAlignment="1">
      <x:alignment horizontal="left" vertical="center" wrapText="1"/>
    </x:xf>
    <x:xf numFmtId="0" fontId="12" fillId="3" borderId="5" xfId="0" applyFont="1" applyBorder="1" applyAlignment="1">
      <x:alignment horizontal="left" vertical="center" wrapText="1"/>
    </x:xf>
    <x:xf numFmtId="0" fontId="6" fillId="3" borderId="5" xfId="0" applyFont="1" applyBorder="1" applyAlignment="1">
      <x:alignment horizontal="left" vertical="center" wrapText="1"/>
    </x:xf>
    <x:xf numFmtId="0" fontId="11" fillId="3" borderId="6" xfId="0" applyFont="1" applyBorder="1" applyAlignment="1">
      <x:alignment horizontal="left" vertical="center" wrapText="1"/>
    </x:xf>
    <x:xf numFmtId="0" fontId="12" fillId="3" borderId="6" xfId="0" applyFont="1" applyBorder="1" applyAlignment="1">
      <x:alignment horizontal="left" vertical="center" wrapText="1"/>
    </x:xf>
    <x:xf numFmtId="0" fontId="5" fillId="8" borderId="6" xfId="0" applyFont="1" applyBorder="1" applyAlignment="1">
      <x:alignment horizontal="center" vertical="center" wrapText="0"/>
    </x:xf>
    <x:xf numFmtId="0" fontId="6" fillId="3" borderId="6" xfId="0" applyFont="1" applyBorder="1" applyAlignment="1">
      <x:alignment horizontal="left" vertical="center" wrapText="1"/>
    </x:xf>
    <x:xf numFmtId="0" fontId="11" fillId="4" borderId="7" xfId="0" applyFont="1" applyBorder="1" applyAlignment="1">
      <x:alignment horizontal="left" vertical="center" wrapText="1"/>
    </x:xf>
    <x:xf numFmtId="0" fontId="12" fillId="4" borderId="7" xfId="0" applyFont="1" applyBorder="1" applyAlignment="1">
      <x:alignment horizontal="left" vertical="center" wrapText="1"/>
    </x:xf>
    <x:xf numFmtId="0" fontId="5" fillId="6" borderId="7" xfId="0" applyFont="1" applyBorder="1" applyAlignment="1">
      <x:alignment horizontal="center" vertical="center" wrapText="0"/>
    </x:xf>
    <x:xf numFmtId="0" fontId="6" fillId="4" borderId="7" xfId="0" applyFont="1" applyBorder="1" applyAlignment="1">
      <x:alignment horizontal="left" vertical="center" wrapText="1"/>
    </x:xf>
    <x:xf numFmtId="0" fontId="11" fillId="4" borderId="6" xfId="0" applyFont="1" applyBorder="1" applyAlignment="1">
      <x:alignment horizontal="left" vertical="center" wrapText="1"/>
    </x:xf>
    <x:xf numFmtId="0" fontId="12" fillId="4" borderId="6" xfId="0" applyFont="1" applyBorder="1" applyAlignment="1">
      <x:alignment horizontal="left" vertical="center" wrapText="1"/>
    </x:xf>
    <x:xf numFmtId="0" fontId="6" fillId="4" borderId="6" xfId="0" applyFont="1" applyBorder="1" applyAlignment="1">
      <x:alignment horizontal="left" vertical="center" wrapText="1"/>
    </x:xf>
    <x:xf numFmtId="0" fontId="5" fillId="8" borderId="7" xfId="0" applyFont="1" applyBorder="1" applyAlignment="1">
      <x:alignment horizontal="center" vertical="center" wrapText="0"/>
    </x:xf>
    <x:xf numFmtId="0" fontId="11" fillId="4" borderId="8" xfId="0" applyFont="1" applyBorder="1" applyAlignment="1">
      <x:alignment horizontal="left" vertical="center" wrapText="1"/>
    </x:xf>
    <x:xf numFmtId="0" fontId="12" fillId="4" borderId="8" xfId="0" applyFont="1" applyBorder="1" applyAlignment="1">
      <x:alignment horizontal="left" vertical="center" wrapText="1"/>
    </x:xf>
    <x:xf numFmtId="0" fontId="5" fillId="7" borderId="8" xfId="0" applyFont="1" applyBorder="1" applyAlignment="1">
      <x:alignment horizontal="center" vertical="center" wrapText="0"/>
    </x:xf>
    <x:xf numFmtId="0" fontId="6" fillId="4" borderId="8" xfId="0" applyFont="1" applyBorder="1" applyAlignment="1">
      <x:alignment horizontal="left" vertical="center" wrapText="1"/>
    </x:xf>
    <x:xf numFmtId="0" fontId="5" fillId="7" borderId="7" xfId="0" applyFont="1" applyBorder="1" applyAlignment="1">
      <x:alignment horizontal="center" vertical="center" wrapText="0"/>
    </x:xf>
    <x:xf numFmtId="0" fontId="11" fillId="4" borderId="0" xfId="0" applyFont="1" applyAlignment="1">
      <x:alignment horizontal="left"/>
    </x:xf>
    <x:xf numFmtId="0" fontId="12" fillId="4" borderId="0" xfId="0" applyFont="1" applyAlignment="1">
      <x:alignment horizontal="left"/>
    </x:xf>
    <x:xf numFmtId="0" fontId="12" fillId="4" borderId="0" xfId="0" applyFont="1" applyAlignment="1">
      <x:alignment horizontal="left" wrapText="1"/>
    </x:xf>
    <x:xf numFmtId="0" fontId="5" fillId="8" borderId="0" xfId="0" applyFont="1" applyAlignment="1">
      <x:alignment horizontal="center" wrapText="0"/>
    </x:xf>
    <x:xf numFmtId="0" fontId="11" fillId="3" borderId="0" xfId="0" applyFont="1" applyAlignment="1">
      <x:alignment horizontal="left"/>
    </x:xf>
    <x:xf numFmtId="0" fontId="12" fillId="3" borderId="0" xfId="0" applyFont="1" applyAlignment="1">
      <x:alignment horizontal="left"/>
    </x:xf>
    <x:xf numFmtId="0" fontId="12" fillId="3" borderId="0" xfId="0" applyFont="1" applyAlignment="1">
      <x:alignment horizontal="left" wrapText="1"/>
    </x:xf>
    <x:xf numFmtId="0" fontId="13" fillId="0" borderId="0" xfId="0" applyFont="1" applyAlignment="1"/>
    <x:xf numFmtId="0" fontId="14" fillId="0" borderId="0" xfId="0" applyFont="1" applyAlignment="1"/>
    <x:xf numFmtId="0" fontId="14" fillId="0" borderId="0" xfId="0" applyFont="1" applyAlignment="1">
      <x:alignment wrapText="1"/>
    </x:xf>
    <x:xf numFmtId="0" fontId="5" fillId="3" borderId="4" xfId="0" applyFont="1" applyBorder="1" applyAlignment="1">
      <x:alignment horizontal="center" vertical="center" wrapText="0"/>
    </x:xf>
    <x:xf numFmtId="0" fontId="12" fillId="3" borderId="4" xfId="0" applyFont="1" applyBorder="1" applyAlignment="1">
      <x:alignment horizontal="left" vertical="center" wrapText="1"/>
    </x:xf>
    <x:xf numFmtId="0" fontId="5" fillId="4" borderId="4" xfId="0" applyFont="1" applyBorder="1" applyAlignment="1">
      <x:alignment horizontal="center" vertical="center" wrapText="0"/>
    </x:xf>
    <x:xf numFmtId="0" fontId="12" fillId="4" borderId="4" xfId="0" applyFont="1" applyBorder="1" applyAlignment="1">
      <x:alignment horizontal="left" vertical="center" wrapText="1"/>
    </x:xf>
    <x:xf numFmtId="0" fontId="12" fillId="0" borderId="0" xfId="0" applyFont="1" applyAlignment="1">
      <x:alignment horizontal="center" vertical="bottom" wrapText="0"/>
    </x:xf>
    <x:xf numFmtId="0" fontId="12" fillId="0" borderId="0" xfId="0" applyFont="1" applyAlignment="1">
      <x:alignment horizontal="left" vertical="center" wrapText="1"/>
    </x:xf>
    <x:xf numFmtId="0" fontId="4" fillId="0" borderId="0" xfId="0" applyFont="1" applyAlignment="1">
      <x:alignment vertical="top" wrapText="1"/>
    </x:xf>
    <x:xf numFmtId="0" fontId="7" fillId="0" borderId="0" xfId="0" applyFont="1" applyAlignment="1">
      <x:alignment vertical="top" wrapText="1"/>
    </x:xf>
    <x:xf numFmtId="0" fontId="7" fillId="0" borderId="0" xfId="0" applyFont="1" applyAlignment="1">
      <x:alignment vertical="top" wrapText="1"/>
    </x:xf>
    <x:xf numFmtId="0" fontId="15" fillId="0" borderId="0" xfId="0" applyFont="1" applyAlignment="1">
      <x:alignment vertical="top" wrapText="1"/>
    </x:xf>
    <x:xf numFmtId="0" fontId="7" fillId="0" borderId="0" xfId="0" applyFont="1" applyAlignment="1">
      <x:alignment horizontal="center" vertical="top" wrapText="1"/>
    </x:xf>
    <x:xf numFmtId="0" fontId="7" fillId="0" borderId="0" xfId="0" applyFont="1" applyAlignment="1">
      <x:alignment wrapText="1"/>
    </x:xf>
    <x:xf numFmtId="0" fontId="15" fillId="0" borderId="0" xfId="0" applyFont="1" applyAlignment="1">
      <x:alignment wrapText="1"/>
    </x:xf>
    <x:xf numFmtId="0" fontId="9" fillId="5" borderId="5" xfId="0" applyFont="1" applyBorder="1" applyAlignment="1">
      <x:alignment horizontal="center" vertical="center" wrapText="1"/>
    </x:xf>
    <x:xf numFmtId="165" fontId="5" fillId="3" borderId="4" xfId="0" applyNumberFormat="1" applyFont="1" applyBorder="1" applyAlignment="1">
      <x:alignment vertical="bottom" wrapText="0"/>
    </x:xf>
    <x:xf numFmtId="165" fontId="5" fillId="4" borderId="4" xfId="0" applyNumberFormat="1" applyFont="1" applyBorder="1" applyAlignment="1">
      <x:alignment vertical="bottom" wrapText="0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 applyAlignment="1">
      <x:alignment vertical="bottom" wrapText="0"/>
    </x:xf>
    <x:xf numFmtId="0" fontId="17" fillId="0" borderId="0" xfId="0" applyNumberFormat="1" applyFont="1" applyFill="1" applyBorder="1" applyAlignment="1">
      <x:alignment horizontal="center" vertical="bottom" wrapText="0"/>
    </x:xf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left" wrapText="1"/>
    </x:xf>
    <x:xf numFmtId="0" fontId="16" fillId="0" borderId="0" xfId="0" applyNumberFormat="1" applyFont="1" applyFill="1" applyBorder="1" applyAlignment="1">
      <x:alignment horizontal="left" vertical="top" wrapText="1"/>
    </x:xf>
    <x:xf numFmtId="0" fontId="17" fillId="0" borderId="0" xfId="0" applyNumberFormat="1" applyFont="1" applyFill="1" applyBorder="1" applyAlignment="1">
      <x:alignment horizontal="center"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0"/>
    </x:xf>
    <x:xf numFmtId="164" fontId="0" fillId="0" borderId="0" xfId="0" applyNumberFormat="1" applyFont="1" applyFill="1" applyBorder="1" applyAlignment="1">
      <x:alignment vertical="bottom" wrapText="0"/>
    </x:xf>
    <x:xf numFmtId="0" fontId="0" fillId="9" borderId="0" xfId="0" applyNumberFormat="1" applyFont="1" applyFill="1" applyBorder="1" applyAlignment="1">
      <x:alignment vertical="bottom" wrapText="0"/>
    </x:xf>
    <x:xf numFmtId="0" fontId="18" fillId="9" borderId="0" xfId="0" applyNumberFormat="1" applyFont="1" applyFill="1" applyBorder="1" applyAlignment="1">
      <x:alignment vertical="bottom" wrapText="0"/>
    </x:xf>
    <x:xf numFmtId="0" fontId="18" fillId="9" borderId="0" xfId="0" applyNumberFormat="1" applyFont="1" applyFill="1" applyBorder="1" applyAlignment="1">
      <x:alignment horizontal="center" vertical="bottom" wrapText="0"/>
    </x:xf>
    <x:xf numFmtId="0" fontId="18" fillId="9" borderId="0" xfId="0" applyNumberFormat="1" applyFont="1" applyFill="1" applyBorder="1" applyAlignment="1">
      <x:alignment horizontal="center" vertical="center" wrapText="0"/>
    </x:xf>
    <x:xf numFmtId="0" fontId="0" fillId="10" borderId="0" xfId="0" applyNumberFormat="1" applyFont="1" applyFill="1" applyBorder="1" applyAlignment="1">
      <x:alignment vertical="bottom" wrapText="0"/>
    </x:xf>
    <x:xf numFmtId="0" fontId="19" fillId="10" borderId="0" xfId="0" applyNumberFormat="1" applyFont="1" applyFill="1" applyBorder="1" applyAlignment="1">
      <x:alignment vertical="bottom" wrapText="0"/>
    </x:xf>
    <x:xf numFmtId="0" fontId="19" fillId="10" borderId="0" xfId="0" applyNumberFormat="1" applyFont="1" applyFill="1" applyBorder="1" applyAlignment="1">
      <x:alignment horizontal="center" vertical="bottom" wrapText="0"/>
    </x:xf>
    <x:xf numFmtId="0" fontId="19" fillId="10" borderId="0" xfId="0" applyNumberFormat="1" applyFont="1" applyFill="1" applyBorder="1" applyAlignment="1">
      <x:alignment horizontal="center" vertical="center" wrapText="0"/>
    </x:xf>
    <x:xf numFmtId="0" fontId="0" fillId="11" borderId="0" xfId="0" applyNumberFormat="1" applyFont="1" applyFill="1" applyBorder="1" applyAlignment="1">
      <x:alignment vertical="bottom" wrapText="0"/>
    </x:xf>
    <x:xf numFmtId="0" fontId="20" fillId="11" borderId="0" xfId="0" applyNumberFormat="1" applyFont="1" applyFill="1" applyBorder="1" applyAlignment="1">
      <x:alignment vertical="bottom" wrapText="0"/>
    </x:xf>
    <x:xf numFmtId="0" fontId="20" fillId="11" borderId="9" xfId="0" applyNumberFormat="1" applyFont="1" applyFill="1" applyBorder="1" applyAlignment="1">
      <x:alignment vertical="bottom" wrapText="0"/>
    </x:xf>
    <x:xf numFmtId="0" fontId="20" fillId="11" borderId="9" xfId="0" applyNumberFormat="1" applyFont="1" applyFill="1" applyBorder="1" applyAlignment="1">
      <x:alignment vertical="bottom" wrapText="1"/>
    </x:xf>
    <x:xf numFmtId="0" fontId="20" fillId="11" borderId="9" xfId="0" applyNumberFormat="1" applyFont="1" applyFill="1" applyBorder="1" applyAlignment="1">
      <x:alignment horizontal="center" vertical="bottom" wrapText="1"/>
    </x:xf>
    <x:xf numFmtId="0" fontId="20" fillId="11" borderId="9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vertical="bottom" wrapText="0"/>
    </x:xf>
    <x:xf numFmtId="200" fontId="21" fillId="0" borderId="0" xfId="0" applyNumberFormat="1" applyFont="1" applyFill="1" applyBorder="1" applyAlignment="1">
      <x:alignment vertical="bottom" wrapText="0"/>
    </x:xf>
    <x:xf numFmtId="0" fontId="21" fillId="0" borderId="10" xfId="0" applyNumberFormat="1" applyFont="1" applyFill="1" applyBorder="1" applyAlignment="1">
      <x:alignment vertical="bottom" wrapText="0"/>
    </x:xf>
    <x:xf numFmtId="200" fontId="21" fillId="0" borderId="10" xfId="0" applyNumberFormat="1" applyFont="1" applyFill="1" applyBorder="1" applyAlignment="1">
      <x:alignment vertical="bottom" wrapText="0"/>
    </x:xf>
    <x:xf numFmtId="0" fontId="21" fillId="0" borderId="11" xfId="0" applyNumberFormat="1" applyFont="1" applyFill="1" applyBorder="1" applyAlignment="1">
      <x:alignment vertical="bottom" wrapText="0"/>
    </x:xf>
    <x:xf numFmtId="200" fontId="21" fillId="0" borderId="11" xfId="0" applyNumberFormat="1" applyFont="1" applyFill="1" applyBorder="1" applyAlignment="1">
      <x:alignment vertical="bottom" wrapText="0"/>
    </x:xf>
    <x:xf numFmtId="0" fontId="21" fillId="0" borderId="10" xfId="0" applyNumberFormat="1" applyFont="1" applyFill="1" applyBorder="1" applyAlignment="1">
      <x:alignment vertical="bottom" wrapText="1"/>
    </x:xf>
    <x:xf numFmtId="200" fontId="21" fillId="0" borderId="10" xfId="0" applyNumberFormat="1" applyFont="1" applyFill="1" applyBorder="1" applyAlignment="1">
      <x:alignment vertical="bottom" wrapText="1"/>
    </x:xf>
    <x:xf numFmtId="0" fontId="21" fillId="0" borderId="11" xfId="0" applyNumberFormat="1" applyFont="1" applyFill="1" applyBorder="1" applyAlignment="1">
      <x:alignment vertical="bottom" wrapText="1"/>
    </x:xf>
    <x:xf numFmtId="200" fontId="21" fillId="0" borderId="11" xfId="0" applyNumberFormat="1" applyFont="1" applyFill="1" applyBorder="1" applyAlignment="1">
      <x:alignment vertical="bottom" wrapText="1"/>
    </x:xf>
    <x:xf numFmtId="0" fontId="21" fillId="0" borderId="10" xfId="0" applyNumberFormat="1" applyFont="1" applyFill="1" applyBorder="1" applyAlignment="1">
      <x:alignment vertical="top" wrapText="1"/>
    </x:xf>
    <x:xf numFmtId="200" fontId="21" fillId="0" borderId="10" xfId="0" applyNumberFormat="1" applyFont="1" applyFill="1" applyBorder="1" applyAlignment="1">
      <x:alignment vertical="top" wrapText="1"/>
    </x:xf>
    <x:xf numFmtId="0" fontId="21" fillId="0" borderId="11" xfId="0" applyNumberFormat="1" applyFont="1" applyFill="1" applyBorder="1" applyAlignment="1">
      <x:alignment vertical="top" wrapText="1"/>
    </x:xf>
    <x:xf numFmtId="200" fontId="21" fillId="0" borderId="11" xfId="0" applyNumberFormat="1" applyFont="1" applyFill="1" applyBorder="1" applyAlignment="1">
      <x:alignment vertical="top" wrapText="1"/>
    </x:xf>
    <x:xf numFmtId="164" fontId="21" fillId="0" borderId="0" xfId="0" applyNumberFormat="1" applyFont="1" applyFill="1" applyBorder="1" applyAlignment="1">
      <x:alignment vertical="bottom" wrapText="0"/>
    </x:xf>
    <x:xf numFmtId="164" fontId="21" fillId="0" borderId="10" xfId="0" applyNumberFormat="1" applyFont="1" applyFill="1" applyBorder="1" applyAlignment="1">
      <x:alignment vertical="bottom" wrapText="0"/>
    </x:xf>
    <x:xf numFmtId="164" fontId="21" fillId="0" borderId="11" xfId="0" applyNumberFormat="1" applyFont="1" applyFill="1" applyBorder="1" applyAlignment="1">
      <x:alignment vertical="bottom" wrapText="0"/>
    </x:xf>
    <x:xf numFmtId="164" fontId="21" fillId="0" borderId="10" xfId="0" applyNumberFormat="1" applyFont="1" applyFill="1" applyBorder="1" applyAlignment="1">
      <x:alignment vertical="bottom" wrapText="1"/>
    </x:xf>
    <x:xf numFmtId="164" fontId="21" fillId="0" borderId="11" xfId="0" applyNumberFormat="1" applyFont="1" applyFill="1" applyBorder="1" applyAlignment="1">
      <x:alignment vertical="bottom" wrapText="1"/>
    </x:xf>
    <x:xf numFmtId="164" fontId="21" fillId="0" borderId="10" xfId="0" applyNumberFormat="1" applyFont="1" applyFill="1" applyBorder="1" applyAlignment="1">
      <x:alignment vertical="top" wrapText="1"/>
    </x:xf>
    <x:xf numFmtId="164" fontId="21" fillId="0" borderId="11" xfId="0" applyNumberFormat="1" applyFont="1" applyFill="1" applyBorder="1" applyAlignment="1">
      <x:alignment vertical="top" wrapText="1"/>
    </x:xf>
    <x:xf numFmtId="0" fontId="21" fillId="9" borderId="11" xfId="0" applyNumberFormat="1" applyFont="1" applyFill="1" applyBorder="1" applyAlignment="1">
      <x:alignment vertical="top" wrapText="1"/>
    </x:xf>
    <x:xf numFmtId="0" fontId="22" fillId="9" borderId="11" xfId="0" applyNumberFormat="1" applyFont="1" applyFill="1" applyBorder="1" applyAlignment="1">
      <x:alignment vertical="top" wrapText="1"/>
    </x:xf>
    <x:xf numFmtId="0" fontId="22" fillId="9" borderId="11" xfId="0" applyNumberFormat="1" applyFont="1" applyFill="1" applyBorder="1" applyAlignment="1">
      <x:alignment vertical="center" wrapText="1"/>
    </x:xf>
    <x:xf numFmtId="0" fontId="22" fillId="9" borderId="0" xfId="0" applyNumberFormat="1" applyFont="1" applyFill="1" applyBorder="1" applyAlignment="1">
      <x:alignment vertical="bottom" wrapText="0"/>
    </x:xf>
    <x:xf numFmtId="0" fontId="22" fillId="9" borderId="0" xfId="0" applyNumberFormat="1" applyFont="1" applyFill="1" applyBorder="1" applyAlignment="1">
      <x:alignment vertical="center" wrapText="0"/>
    </x:xf>
    <x:xf numFmtId="0" fontId="21" fillId="10" borderId="0" xfId="0" applyNumberFormat="1" applyFont="1" applyFill="1" applyBorder="1" applyAlignment="1">
      <x:alignment vertical="bottom" wrapText="0"/>
    </x:xf>
    <x:xf numFmtId="0" fontId="21" fillId="10" borderId="10" xfId="0" applyNumberFormat="1" applyFont="1" applyFill="1" applyBorder="1" applyAlignment="1">
      <x:alignment vertical="bottom" wrapText="0"/>
    </x:xf>
    <x:xf numFmtId="0" fontId="21" fillId="10" borderId="11" xfId="0" applyNumberFormat="1" applyFont="1" applyFill="1" applyBorder="1" applyAlignment="1">
      <x:alignment vertical="bottom" wrapText="0"/>
    </x:xf>
    <x:xf numFmtId="0" fontId="21" fillId="10" borderId="10" xfId="0" applyNumberFormat="1" applyFont="1" applyFill="1" applyBorder="1" applyAlignment="1">
      <x:alignment vertical="bottom" wrapText="1"/>
    </x:xf>
    <x:xf numFmtId="0" fontId="21" fillId="10" borderId="11" xfId="0" applyNumberFormat="1" applyFont="1" applyFill="1" applyBorder="1" applyAlignment="1">
      <x:alignment vertical="bottom" wrapText="1"/>
    </x:xf>
    <x:xf numFmtId="0" fontId="21" fillId="10" borderId="10" xfId="0" applyNumberFormat="1" applyFont="1" applyFill="1" applyBorder="1" applyAlignment="1">
      <x:alignment vertical="top" wrapText="1"/>
    </x:xf>
    <x:xf numFmtId="0" fontId="21" fillId="10" borderId="1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bottom" wrapText="0"/>
    </x:xf>
    <x:xf numFmtId="0" fontId="23" fillId="12" borderId="0" xfId="0" applyNumberFormat="1" applyFont="1" applyFill="1" applyBorder="1" applyAlignment="1">
      <x:alignment vertical="bottom" wrapText="0"/>
    </x:xf>
    <x:xf numFmtId="0" fontId="23" fillId="12" borderId="12" xfId="0" applyNumberFormat="1" applyFont="1" applyFill="1" applyBorder="1" applyAlignment="1">
      <x:alignment vertical="bottom" wrapText="0"/>
    </x:xf>
    <x:xf numFmtId="0" fontId="23" fillId="12" borderId="13" xfId="0" applyNumberFormat="1" applyFont="1" applyFill="1" applyBorder="1" applyAlignment="1">
      <x:alignment vertical="bottom" wrapText="0"/>
    </x:xf>
    <x:xf numFmtId="0" fontId="23" fillId="12" borderId="12" xfId="0" applyNumberFormat="1" applyFont="1" applyFill="1" applyBorder="1" applyAlignment="1">
      <x:alignment horizontal="center" vertical="bottom" wrapText="0"/>
    </x:xf>
    <x:xf numFmtId="0" fontId="23" fillId="12" borderId="13" xfId="0" applyNumberFormat="1" applyFont="1" applyFill="1" applyBorder="1" applyAlignment="1">
      <x:alignment horizontal="center" vertical="bottom" wrapText="0"/>
    </x:xf>
    <x:xf numFmtId="0" fontId="23" fillId="12" borderId="12" xfId="0" applyNumberFormat="1" applyFont="1" applyFill="1" applyBorder="1" applyAlignment="1">
      <x:alignment horizontal="center" vertical="center" wrapText="0"/>
    </x:xf>
    <x:xf numFmtId="0" fontId="23" fillId="12" borderId="13" xfId="0" applyNumberFormat="1" applyFont="1" applyFill="1" applyBorder="1" applyAlignment="1">
      <x:alignment horizontal="center" vertical="center" wrapText="0"/>
    </x:xf>
    <x:xf numFmtId="0" fontId="0" fillId="13" borderId="0" xfId="0" applyNumberFormat="1" applyFont="1" applyFill="1" applyBorder="1" applyAlignment="1">
      <x:alignment vertical="bottom" wrapText="0"/>
    </x:xf>
    <x:xf numFmtId="0" fontId="24" fillId="13" borderId="0" xfId="0" applyNumberFormat="1" applyFont="1" applyFill="1" applyBorder="1" applyAlignment="1">
      <x:alignment vertical="bottom" wrapText="0"/>
    </x:xf>
    <x:xf numFmtId="0" fontId="24" fillId="13" borderId="14" xfId="0" applyNumberFormat="1" applyFont="1" applyFill="1" applyBorder="1" applyAlignment="1">
      <x:alignment vertical="bottom" wrapText="0"/>
    </x:xf>
    <x:xf numFmtId="0" fontId="24" fillId="13" borderId="15" xfId="0" applyNumberFormat="1" applyFont="1" applyFill="1" applyBorder="1" applyAlignment="1">
      <x:alignment vertical="bottom" wrapText="0"/>
    </x:xf>
    <x:xf numFmtId="0" fontId="24" fillId="13" borderId="16" xfId="0" applyNumberFormat="1" applyFont="1" applyFill="1" applyBorder="1" applyAlignment="1">
      <x:alignment vertical="bottom" wrapText="0"/>
    </x:xf>
    <x:xf numFmtId="0" fontId="24" fillId="13" borderId="17" xfId="0" applyNumberFormat="1" applyFont="1" applyFill="1" applyBorder="1" applyAlignment="1">
      <x:alignment vertical="bottom" wrapText="0"/>
    </x:xf>
    <x:xf numFmtId="0" fontId="24" fillId="13" borderId="14" xfId="0" applyNumberFormat="1" applyFont="1" applyFill="1" applyBorder="1" applyAlignment="1">
      <x:alignment horizontal="center" vertical="bottom" wrapText="0"/>
    </x:xf>
    <x:xf numFmtId="0" fontId="24" fillId="13" borderId="15" xfId="0" applyNumberFormat="1" applyFont="1" applyFill="1" applyBorder="1" applyAlignment="1">
      <x:alignment horizontal="center" vertical="bottom" wrapText="0"/>
    </x:xf>
    <x:xf numFmtId="0" fontId="24" fillId="13" borderId="16" xfId="0" applyNumberFormat="1" applyFont="1" applyFill="1" applyBorder="1" applyAlignment="1">
      <x:alignment horizontal="center" vertical="bottom" wrapText="0"/>
    </x:xf>
    <x:xf numFmtId="0" fontId="24" fillId="13" borderId="17" xfId="0" applyNumberFormat="1" applyFont="1" applyFill="1" applyBorder="1" applyAlignment="1">
      <x:alignment horizontal="center" vertical="bottom" wrapText="0"/>
    </x:xf>
    <x:xf numFmtId="0" fontId="24" fillId="13" borderId="14" xfId="0" applyNumberFormat="1" applyFont="1" applyFill="1" applyBorder="1" applyAlignment="1">
      <x:alignment horizontal="center" vertical="center" wrapText="0"/>
    </x:xf>
    <x:xf numFmtId="0" fontId="24" fillId="13" borderId="15" xfId="0" applyNumberFormat="1" applyFont="1" applyFill="1" applyBorder="1" applyAlignment="1">
      <x:alignment horizontal="center" vertical="center" wrapText="0"/>
    </x:xf>
    <x:xf numFmtId="0" fontId="24" fillId="13" borderId="16" xfId="0" applyNumberFormat="1" applyFont="1" applyFill="1" applyBorder="1" applyAlignment="1">
      <x:alignment horizontal="center" vertical="center" wrapText="0"/>
    </x:xf>
    <x:xf numFmtId="0" fontId="24" fillId="13" borderId="17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vertical="bottom" wrapText="0"/>
    </x:xf>
    <x:xf numFmtId="164" fontId="24" fillId="13" borderId="0" xfId="0" applyNumberFormat="1" applyFont="1" applyFill="1" applyBorder="1" applyAlignment="1">
      <x:alignment vertical="bottom" wrapText="0"/>
    </x:xf>
    <x:xf numFmtId="164" fontId="24" fillId="13" borderId="14" xfId="0" applyNumberFormat="1" applyFont="1" applyFill="1" applyBorder="1" applyAlignment="1">
      <x:alignment vertical="bottom" wrapText="0"/>
    </x:xf>
    <x:xf numFmtId="164" fontId="24" fillId="13" borderId="14" xfId="0" applyNumberFormat="1" applyFont="1" applyFill="1" applyBorder="1" applyAlignment="1">
      <x:alignment horizontal="center" vertical="bottom" wrapText="0"/>
    </x:xf>
    <x:xf numFmtId="164" fontId="24" fillId="13" borderId="14" xfId="0" applyNumberFormat="1" applyFont="1" applyFill="1" applyBorder="1" applyAlignment="1">
      <x:alignment horizontal="center" vertical="center" wrapText="0"/>
    </x:xf>
    <x:xf numFmtId="0" fontId="23" fillId="10" borderId="0" xfId="0" applyNumberFormat="1" applyFont="1" applyFill="1" applyBorder="1" applyAlignment="1">
      <x:alignment vertical="bottom" wrapText="0"/>
    </x:xf>
    <x:xf numFmtId="0" fontId="23" fillId="10" borderId="0" xfId="0" applyNumberFormat="1" applyFont="1" applyFill="1" applyBorder="1" applyAlignment="1">
      <x:alignment vertical="bottom" wrapText="1"/>
    </x:xf>
    <x:xf numFmtId="0" fontId="23" fillId="10" borderId="0" xfId="0" applyNumberFormat="1" applyFont="1" applyFill="1" applyBorder="1" applyAlignment="1">
      <x:alignment vertical="center" wrapText="1"/>
    </x:xf>
    <x:xf numFmtId="0" fontId="23" fillId="0" borderId="10" xfId="0" applyNumberFormat="1" applyFont="1" applyFill="1" applyBorder="1" applyAlignment="1">
      <x:alignment vertical="top" wrapText="1"/>
    </x:xf>
    <x:xf numFmtId="0" fontId="23" fillId="0" borderId="11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bottom" wrapText="1"/>
    </x:xf>
    <x:xf numFmtId="200" fontId="21" fillId="0" borderId="0" xfId="0" applyNumberFormat="1" applyFont="1" applyFill="1" applyBorder="1" applyAlignment="1">
      <x:alignment vertical="bottom" wrapText="1"/>
    </x:xf>
    <x:xf numFmtId="0" fontId="21" fillId="0" borderId="0" xfId="0" applyNumberFormat="1" applyFont="1" applyFill="1" applyBorder="1" applyAlignment="1">
      <x:alignment horizontal="general" vertical="bottom" wrapText="1"/>
    </x:xf>
    <x:xf numFmtId="200" fontId="21" fillId="0" borderId="0" xfId="0" applyNumberFormat="1" applyFont="1" applyFill="1" applyBorder="1" applyAlignment="1">
      <x:alignment horizontal="general" vertical="bottom" wrapText="1"/>
    </x:xf>
    <x:xf numFmtId="0" fontId="21" fillId="0" borderId="0" xfId="0" applyNumberFormat="1" applyFont="1" applyFill="1" applyBorder="1" applyAlignment="1">
      <x:alignment horizontal="general" vertical="top" wrapText="1"/>
    </x:xf>
    <x:xf numFmtId="200" fontId="21" fillId="0" borderId="0" xfId="0" applyNumberFormat="1" applyFont="1" applyFill="1" applyBorder="1" applyAlignment="1">
      <x:alignment horizontal="general" vertical="top" wrapText="1"/>
    </x:xf>
    <x:xf numFmtId="0" fontId="21" fillId="0" borderId="11" xfId="0" applyNumberFormat="1" applyFont="1" applyFill="1" applyBorder="1" applyAlignment="1">
      <x:alignment horizontal="general" vertical="top" wrapText="1"/>
    </x:xf>
    <x:xf numFmtId="200" fontId="21" fillId="0" borderId="11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bottom" wrapText="0"/>
    </x:xf>
    <x:xf numFmtId="0" fontId="25" fillId="0" borderId="0" xfId="0" applyNumberFormat="1" applyFont="1" applyFill="1" applyBorder="1" applyAlignment="1">
      <x:alignment vertical="center" wrapText="0"/>
    </x:xf>
    <x:xf numFmtId="0" fontId="25" fillId="0" borderId="0" xfId="0" applyNumberFormat="1" applyFont="1" applyFill="1" applyBorder="1" applyAlignment="1">
      <x:alignment vertical="center" wrapText="1"/>
    </x:xf>
    <x:xf numFmtId="201" fontId="25" fillId="0" borderId="0" xfId="0" applyNumberFormat="1" applyFont="1" applyFill="1" applyBorder="1" applyAlignment="1">
      <x:alignment vertical="center" wrapText="1"/>
    </x:xf>
    <x:xf numFmtId="201" fontId="25" fillId="0" borderId="0" xfId="0" applyNumberFormat="1" applyFont="1" applyFill="1" applyBorder="1" applyAlignment="1">
      <x:alignment horizontal="center" vertical="center" wrapText="1"/>
    </x:xf>
    <x:xf numFmtId="202" fontId="25" fillId="0" borderId="0" xfId="0" applyNumberFormat="1" applyFont="1" applyFill="1" applyBorder="1" applyAlignment="1">
      <x:alignment horizontal="center" vertical="center" wrapText="1"/>
    </x:xf>
    <x:xf numFmtId="203" fontId="25" fillId="0" borderId="0" xfId="0" applyNumberFormat="1" applyFont="1" applyFill="1" applyBorder="1" applyAlignment="1">
      <x:alignment horizontal="center" vertical="center" wrapText="1"/>
    </x:xf>
    <x:xf numFmtId="204" fontId="25" fillId="0" borderId="0" xfId="0" applyNumberFormat="1" applyFont="1" applyFill="1" applyBorder="1" applyAlignment="1">
      <x:alignment horizontal="center" vertical="center" wrapText="1"/>
    </x:xf>
    <x:xf numFmtId="164" fontId="25" fillId="0" borderId="0" xfId="0" applyNumberFormat="1" applyFont="1" applyFill="1" applyBorder="1" applyAlignment="1">
      <x:alignment horizontal="center" vertical="center" wrapText="1"/>
    </x:xf>
    <x:xf numFmtId="0" fontId="26" fillId="0" borderId="0" xfId="0" applyNumberFormat="1" applyFont="1" applyFill="1" applyBorder="1" applyAlignment="1">
      <x:alignment vertical="center" wrapText="1"/>
    </x:xf>
    <x:xf numFmtId="0" fontId="25" fillId="14" borderId="0" xfId="0" applyNumberFormat="1" applyFont="1" applyFill="1" applyBorder="1" applyAlignment="1">
      <x:alignment vertical="center" wrapText="1"/>
    </x:xf>
    <x:xf numFmtId="201" fontId="25" fillId="14" borderId="0" xfId="0" applyNumberFormat="1" applyFont="1" applyFill="1" applyBorder="1" applyAlignment="1">
      <x:alignment horizontal="center" vertical="center" wrapText="1"/>
    </x:xf>
    <x:xf numFmtId="0" fontId="9" fillId="14" borderId="0" xfId="0" applyNumberFormat="1" applyFont="1" applyFill="1" applyBorder="1" applyAlignment="1">
      <x:alignment vertical="center" wrapText="1"/>
    </x:xf>
    <x:xf numFmtId="201" fontId="9" fillId="14" borderId="0" xfId="0" applyNumberFormat="1" applyFont="1" applyFill="1" applyBorder="1" applyAlignment="1">
      <x:alignment horizontal="center" vertical="center" wrapText="1"/>
    </x:xf>
    <x:xf numFmtId="201" fontId="25" fillId="15" borderId="0" xfId="0" applyNumberFormat="1" applyFont="1" applyFill="1" applyBorder="1" applyAlignment="1">
      <x:alignment horizontal="center" vertical="center" wrapText="1"/>
    </x:xf>
    <x:xf numFmtId="201" fontId="27" fillId="15" borderId="0" xfId="0" applyNumberFormat="1" applyFont="1" applyFill="1" applyBorder="1" applyAlignment="1">
      <x:alignment horizontal="center" vertical="center" wrapText="1"/>
    </x:xf>
    <x:xf numFmtId="202" fontId="25" fillId="15" borderId="0" xfId="0" applyNumberFormat="1" applyFont="1" applyFill="1" applyBorder="1" applyAlignment="1">
      <x:alignment horizontal="center" vertical="center" wrapText="1"/>
    </x:xf>
    <x:xf numFmtId="202" fontId="27" fillId="15" borderId="0" xfId="0" applyNumberFormat="1" applyFont="1" applyFill="1" applyBorder="1" applyAlignment="1">
      <x:alignment horizontal="center" vertical="center" wrapText="1"/>
    </x:xf>
    <x:xf numFmtId="204" fontId="25" fillId="15" borderId="0" xfId="0" applyNumberFormat="1" applyFont="1" applyFill="1" applyBorder="1" applyAlignment="1">
      <x:alignment horizontal="center" vertical="center" wrapText="1"/>
    </x:xf>
    <x:xf numFmtId="204" fontId="27" fillId="15" borderId="0" xfId="0" applyNumberFormat="1" applyFont="1" applyFill="1" applyBorder="1" applyAlignment="1">
      <x:alignment horizontal="center" vertical="center" wrapText="1"/>
    </x:xf>
    <x:xf numFmtId="203" fontId="25" fillId="15" borderId="0" xfId="0" applyNumberFormat="1" applyFont="1" applyFill="1" applyBorder="1" applyAlignment="1">
      <x:alignment horizontal="center" vertical="center" wrapText="1"/>
    </x:xf>
    <x:xf numFmtId="203" fontId="27" fillId="15" borderId="0" xfId="0" applyNumberFormat="1" applyFont="1" applyFill="1" applyBorder="1" applyAlignment="1">
      <x:alignment horizontal="center" vertical="center" wrapText="1"/>
    </x:xf>
    <x:xf numFmtId="164" fontId="25" fillId="15" borderId="0" xfId="0" applyNumberFormat="1" applyFont="1" applyFill="1" applyBorder="1" applyAlignment="1">
      <x:alignment horizontal="center" vertical="center" wrapText="1"/>
    </x:xf>
    <x:xf numFmtId="164" fontId="27" fillId="15" borderId="0" xfId="0" applyNumberFormat="1" applyFont="1" applyFill="1" applyBorder="1" applyAlignment="1">
      <x:alignment horizontal="center" vertical="center" wrapText="1"/>
    </x:xf>
    <x:xf numFmtId="201" fontId="28" fillId="0" borderId="0" xfId="0" applyNumberFormat="1" applyFont="1" applyFill="1" applyBorder="1" applyAlignment="1">
      <x:alignment horizontal="center" vertical="center" wrapText="1"/>
    </x:xf>
    <x:xf numFmtId="0" fontId="25" fillId="16" borderId="0" xfId="0" applyNumberFormat="1" applyFont="1" applyFill="1" applyBorder="1" applyAlignment="1">
      <x:alignment vertical="center" wrapText="1"/>
    </x:xf>
    <x:xf numFmtId="201" fontId="28" fillId="16" borderId="0" xfId="0" applyNumberFormat="1" applyFont="1" applyFill="1" applyBorder="1" applyAlignment="1">
      <x:alignment horizontal="center" vertical="center" wrapText="1"/>
    </x:xf>
    <x:xf numFmtId="205" fontId="12" fillId="3" borderId="5" xfId="0" applyNumberFormat="1" applyFont="1" applyFill="1" applyBorder="1" applyAlignment="1">
      <x:alignment horizontal="left" vertical="center" wrapText="1"/>
    </x:xf>
    <x:xf numFmtId="0" fontId="29" fillId="0" borderId="0" xfId="0" applyNumberFormat="1" applyFont="1" applyFill="1" applyBorder="1" applyAlignment="1">
      <x:alignment vertical="bottom" wrapText="0"/>
    </x:xf>
    <x:xf numFmtId="205" fontId="29" fillId="0" borderId="0" xfId="0" applyNumberFormat="1" applyFont="1" applyFill="1" applyBorder="1" applyAlignment="1">
      <x:alignment vertical="bottom" wrapText="0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12" fillId="4" borderId="8" xfId="0" applyNumberFormat="1" applyFont="1" applyFill="1" applyBorder="1" applyAlignment="1">
      <x:alignment horizontal="left" vertical="center" wrapText="1"/>
    </x:xf>
    <x:xf numFmtId="0" fontId="12" fillId="3" borderId="5" xfId="0" applyNumberFormat="1" applyFont="1" applyFill="1" applyBorder="1" applyAlignment="1">
      <x:alignment horizontal="left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left" vertical="center" wrapText="1"/>
    </x:xf>
    <x:xf numFmtId="0" fontId="11" fillId="3" borderId="5" xfId="0" applyNumberFormat="1" applyFont="1" applyFill="1" applyBorder="1" applyAlignment="1">
      <x:alignment horizontal="left" vertical="center" wrapText="1"/>
    </x:xf>
    <x:xf numFmtId="205" fontId="12" fillId="3" borderId="5" xfId="0" applyNumberFormat="1" applyFont="1" applyFill="1" applyBorder="1" applyAlignment="1">
      <x:alignment horizontal="right" vertical="center" wrapText="1"/>
    </x:xf>
    <x:xf numFmtId="0" fontId="5" fillId="17" borderId="5" xfId="0" applyNumberFormat="1" applyFont="1" applyFill="1" applyBorder="1" applyAlignment="1">
      <x:alignment horizontal="center" vertical="center" wrapText="1"/>
    </x:xf>
    <x:xf numFmtId="0" fontId="5" fillId="18" borderId="5" xfId="0" applyNumberFormat="1" applyFont="1" applyFill="1" applyBorder="1" applyAlignment="1">
      <x:alignment horizontal="center" vertical="center" wrapText="1"/>
    </x:xf>
    <x:xf numFmtId="0" fontId="5" fillId="19" borderId="5" xfId="0" applyNumberFormat="1" applyFont="1" applyFill="1" applyBorder="1" applyAlignment="1">
      <x:alignment horizontal="center" vertical="center" wrapText="0"/>
    </x:xf>
    <x:xf numFmtId="0" fontId="5" fillId="20" borderId="5" xfId="0" applyNumberFormat="1" applyFont="1" applyFill="1" applyBorder="1" applyAlignment="1">
      <x:alignment horizontal="center" vertical="center" wrapText="0"/>
    </x:xf>
    <x:xf numFmtId="0" fontId="5" fillId="21" borderId="5" xfId="0" applyNumberFormat="1" applyFont="1" applyFill="1" applyBorder="1" applyAlignment="1">
      <x:alignment horizontal="center" vertical="center" wrapText="0"/>
    </x:xf>
    <x:xf numFmtId="0" fontId="21" fillId="22" borderId="11" xfId="0" applyNumberFormat="1" applyFont="1" applyFill="1" applyBorder="1" applyAlignment="1">
      <x:alignment vertical="top" wrapText="1"/>
    </x:xf>
    <x:xf numFmtId="0" fontId="30" fillId="22" borderId="11" xfId="0" applyNumberFormat="1" applyFont="1" applyFill="1" applyBorder="1" applyAlignment="1">
      <x:alignment vertical="top" wrapText="1"/>
    </x:xf>
    <x:xf numFmtId="0" fontId="5" fillId="23" borderId="5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70">
    <x:dxf>
      <x:font>
        <x:b/>
        <x:color rgb="FF246B3B"/>
      </x:font>
      <x:fill>
        <x:patternFill>
          <x:bgColor rgb="FFDDF3E4"/>
        </x:patternFill>
      </x:fill>
    </x:dxf>
    <x:dxf>
      <x:font>
        <x:b/>
        <x:color rgb="FF246B3B"/>
      </x:font>
      <x:fill>
        <x:patternFill>
          <x:bgColor rgb="FFDDF3E4"/>
        </x:patternFill>
      </x:fill>
    </x:dxf>
    <x:dxf>
      <x:font>
        <x:b/>
        <x:color rgb="FF246B3B"/>
      </x:font>
      <x:fill>
        <x:patternFill>
          <x:bgColor rgb="FFDDF3E4"/>
        </x:patternFill>
      </x:fill>
    </x:dxf>
    <x:dxf>
      <x:font>
        <x:b/>
        <x:color rgb="FF246B3B"/>
      </x:font>
      <x:fill>
        <x:patternFill>
          <x:bgColor rgb="FFDDF3E4"/>
        </x:patternFill>
      </x:fill>
    </x:dxf>
    <x:dxf>
      <x:font>
        <x:b/>
        <x:color rgb="FF805E00"/>
      </x:font>
      <x:fill>
        <x:patternFill>
          <x:bgColor rgb="FFFFF1C9"/>
        </x:patternFill>
      </x:fill>
    </x:dxf>
    <x:dxf>
      <x:font>
        <x:b/>
        <x:color rgb="FF805E00"/>
      </x:font>
      <x:fill>
        <x:patternFill>
          <x:bgColor rgb="FFFFF1C9"/>
        </x:patternFill>
      </x:fill>
    </x:dxf>
    <x:dxf>
      <x:font>
        <x:b/>
        <x:color rgb="FF805E00"/>
      </x:font>
      <x:fill>
        <x:patternFill>
          <x:bgColor rgb="FFFFF1C9"/>
        </x:patternFill>
      </x:fill>
    </x:dxf>
    <x:dxf>
      <x:font>
        <x:b/>
        <x:color rgb="FF805E00"/>
      </x:font>
      <x:fill>
        <x:patternFill>
          <x:bgColor rgb="FFFFF1C9"/>
        </x:patternFill>
      </x:fill>
    </x:dxf>
    <x:dxf>
      <x:font>
        <x:b/>
        <x:color rgb="FF245B84"/>
      </x:font>
      <x:fill>
        <x:patternFill>
          <x:bgColor rgb="FFDDEBFA"/>
        </x:patternFill>
      </x:fill>
    </x:dxf>
    <x:dxf>
      <x:font>
        <x:b/>
        <x:color rgb="FF245B84"/>
      </x:font>
      <x:fill>
        <x:patternFill>
          <x:bgColor rgb="FFDDEBFA"/>
        </x:patternFill>
      </x:fill>
    </x:dxf>
    <x:dxf>
      <x:font>
        <x:b/>
        <x:color rgb="FF245B84"/>
      </x:font>
      <x:fill>
        <x:patternFill>
          <x:bgColor rgb="FFDDEBFA"/>
        </x:patternFill>
      </x:fill>
    </x:dxf>
    <x:dxf>
      <x:font>
        <x:b/>
        <x:color rgb="FF245B84"/>
      </x:font>
      <x:fill>
        <x:patternFill>
          <x:bgColor rgb="FFDDEBFA"/>
        </x:patternFill>
      </x:fill>
    </x:dxf>
    <x:dxf>
      <x:font>
        <x:b/>
        <x:color rgb="FF8A2432"/>
      </x:font>
      <x:fill>
        <x:patternFill>
          <x:bgColor rgb="FFF9D7DC"/>
        </x:patternFill>
      </x:fill>
    </x:dxf>
    <x:dxf>
      <x:font>
        <x:b/>
        <x:color rgb="FF8A2432"/>
      </x:font>
      <x:fill>
        <x:patternFill>
          <x:bgColor rgb="FFF9D7DC"/>
        </x:patternFill>
      </x:fill>
    </x:dxf>
    <x:dxf>
      <x:font>
        <x:b/>
        <x:color rgb="FF8A2432"/>
      </x:font>
      <x:fill>
        <x:patternFill>
          <x:bgColor rgb="FFF9D7DC"/>
        </x:patternFill>
      </x:fill>
    </x:dxf>
    <x:dxf>
      <x:font>
        <x:b/>
        <x:color rgb="FF8A2432"/>
      </x:font>
      <x:fill>
        <x:patternFill>
          <x:bgColor rgb="FFF9D7D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3D1A3E"/>
      </x:font>
      <x:fill>
        <x:patternFill>
          <x:bgColor rgb="FFFAE1EC"/>
        </x:patternFill>
      </x:fill>
    </x:dxf>
    <x:dxf>
      <x:font>
        <x:b/>
        <x:color rgb="FF3D1A3E"/>
      </x:font>
      <x:fill>
        <x:patternFill>
          <x:bgColor rgb="FFFAE1EC"/>
        </x:patternFill>
      </x:fill>
    </x:dxf>
    <x:dxf>
      <x:font>
        <x:b/>
        <x:color rgb="FF3D1A3E"/>
      </x:font>
      <x:fill>
        <x:patternFill>
          <x:bgColor rgb="FFFAE1EC"/>
        </x:patternFill>
      </x:fill>
    </x:dxf>
    <x:dxf>
      <x:font>
        <x:b/>
        <x:color rgb="FF3D1A3E"/>
      </x:font>
      <x:fill>
        <x:patternFill>
          <x:bgColor rgb="FFFAE1E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246B3B"/>
      </x:font>
      <x:fill>
        <x:patternFill>
          <x:bgColor rgb="FFDDF3E4"/>
        </x:patternFill>
      </x:fill>
    </x:dxf>
    <x:dxf>
      <x:font>
        <x:b/>
        <x:color rgb="FF805E00"/>
      </x:font>
      <x:fill>
        <x:patternFill>
          <x:bgColor rgb="FFFFF1C9"/>
        </x:patternFill>
      </x:fill>
    </x:dxf>
    <x:dxf>
      <x:font>
        <x:b/>
        <x:color rgb="FF245B84"/>
      </x:font>
      <x:fill>
        <x:patternFill>
          <x:bgColor rgb="FFDDEBFA"/>
        </x:patternFill>
      </x:fill>
    </x:dxf>
    <x:dxf>
      <x:font>
        <x:b/>
        <x:color rgb="FF8A2432"/>
      </x:font>
      <x:fill>
        <x:patternFill>
          <x:bgColor rgb="FFF9D7D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246B3B"/>
      </x:font>
      <x:fill>
        <x:patternFill>
          <x:bgColor rgb="FFDDF3E4"/>
        </x:patternFill>
      </x:fill>
    </x:dxf>
    <x:dxf>
      <x:font>
        <x:b/>
        <x:color rgb="FF805E00"/>
      </x:font>
      <x:fill>
        <x:patternFill>
          <x:bgColor rgb="FFFFF1C9"/>
        </x:patternFill>
      </x:fill>
    </x:dxf>
    <x:dxf>
      <x:font>
        <x:b/>
        <x:color rgb="FF245B84"/>
      </x:font>
      <x:fill>
        <x:patternFill>
          <x:bgColor rgb="FFDDEBFA"/>
        </x:patternFill>
      </x:fill>
    </x:dxf>
    <x:dxf>
      <x:font>
        <x:b/>
        <x:color rgb="FF8A2432"/>
      </x:font>
      <x:fill>
        <x:patternFill>
          <x:bgColor rgb="FFF9D7D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246B3B"/>
      </x:font>
      <x:fill>
        <x:patternFill>
          <x:bgColor rgb="FFDDF3E4"/>
        </x:patternFill>
      </x:fill>
    </x:dxf>
    <x:dxf>
      <x:font>
        <x:b/>
        <x:color rgb="FF805E00"/>
      </x:font>
      <x:fill>
        <x:patternFill>
          <x:bgColor rgb="FFFFF1C9"/>
        </x:patternFill>
      </x:fill>
    </x:dxf>
    <x:dxf>
      <x:font>
        <x:b/>
        <x:color rgb="FF245B84"/>
      </x:font>
      <x:fill>
        <x:patternFill>
          <x:bgColor rgb="FFDDEBFA"/>
        </x:patternFill>
      </x:fill>
    </x:dxf>
    <x:dxf>
      <x:font>
        <x:b/>
        <x:color rgb="FF8A2432"/>
      </x:font>
      <x:fill>
        <x:patternFill>
          <x:bgColor rgb="FFF9D7D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3D1A3E"/>
      </x:font>
      <x:fill>
        <x:patternFill>
          <x:bgColor rgb="FFFAE1E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246B3B"/>
      </x:font>
      <x:fill>
        <x:patternFill>
          <x:bgColor rgb="FFDDF3E4"/>
        </x:patternFill>
      </x:fill>
    </x:dxf>
    <x:dxf>
      <x:font>
        <x:b/>
        <x:color rgb="FF805E00"/>
      </x:font>
      <x:fill>
        <x:patternFill>
          <x:bgColor rgb="FFFFF1C9"/>
        </x:patternFill>
      </x:fill>
    </x:dxf>
    <x:dxf>
      <x:font>
        <x:b/>
        <x:color rgb="FF245B84"/>
      </x:font>
      <x:fill>
        <x:patternFill>
          <x:bgColor rgb="FFDDEBFA"/>
        </x:patternFill>
      </x:fill>
    </x:dxf>
    <x:dxf>
      <x:font>
        <x:b/>
        <x:color rgb="FF8A2432"/>
      </x:font>
      <x:fill>
        <x:patternFill>
          <x:bgColor rgb="FFF9D7D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3D1A3E"/>
      </x:font>
      <x:fill>
        <x:patternFill>
          <x:bgColor rgb="FFFAE1E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246B3B"/>
      </x:font>
      <x:fill>
        <x:patternFill>
          <x:bgColor rgb="FFDDF3E4"/>
        </x:patternFill>
      </x:fill>
    </x:dxf>
    <x:dxf>
      <x:font>
        <x:b/>
        <x:color rgb="FF805E00"/>
      </x:font>
      <x:fill>
        <x:patternFill>
          <x:bgColor rgb="FFFFF1C9"/>
        </x:patternFill>
      </x:fill>
    </x:dxf>
    <x:dxf>
      <x:font>
        <x:b/>
        <x:color rgb="FF245B84"/>
      </x:font>
      <x:fill>
        <x:patternFill>
          <x:bgColor rgb="FFDDEBFA"/>
        </x:patternFill>
      </x:fill>
    </x:dxf>
    <x:dxf>
      <x:font>
        <x:b/>
        <x:color rgb="FF8A2432"/>
      </x:font>
      <x:fill>
        <x:patternFill>
          <x:bgColor rgb="FFF9D7D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3D1A3E"/>
      </x:font>
      <x:fill>
        <x:patternFill>
          <x:bgColor rgb="FFFAE1E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246B3B"/>
      </x:font>
      <x:fill>
        <x:patternFill>
          <x:bgColor rgb="FFDDF3E4"/>
        </x:patternFill>
      </x:fill>
    </x:dxf>
    <x:dxf>
      <x:font>
        <x:b/>
        <x:color rgb="FF805E00"/>
      </x:font>
      <x:fill>
        <x:patternFill>
          <x:bgColor rgb="FFFFF1C9"/>
        </x:patternFill>
      </x:fill>
    </x:dxf>
    <x:dxf>
      <x:font>
        <x:b/>
        <x:color rgb="FF245B84"/>
      </x:font>
      <x:fill>
        <x:patternFill>
          <x:bgColor rgb="FFDDEBFA"/>
        </x:patternFill>
      </x:fill>
    </x:dxf>
    <x:dxf>
      <x:font>
        <x:b/>
        <x:color rgb="FF8A2432"/>
      </x:font>
      <x:fill>
        <x:patternFill>
          <x:bgColor rgb="FFF9D7DC"/>
        </x:patternFill>
      </x:fill>
    </x:dxf>
    <x:dxf>
      <x:font>
        <x:b/>
        <x:color rgb="FF5D535C"/>
      </x:font>
      <x:fill>
        <x:patternFill>
          <x:bgColor rgb="FFECE8EC"/>
        </x:patternFill>
      </x:fill>
    </x:dxf>
    <x:dxf>
      <x:font>
        <x:b/>
        <x:color rgb="FF3D1A3E"/>
      </x:font>
      <x:fill>
        <x:patternFill>
          <x:bgColor rgb="FFFAE1E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e1ee67c9648c0" /><Relationship Type="http://schemas.openxmlformats.org/officeDocument/2006/relationships/theme" Target="/xl/theme/theme1.xml" Id="Rad95146cb1a24b7c" /><Relationship Type="http://schemas.openxmlformats.org/officeDocument/2006/relationships/sharedStrings" Target="/xl/sharedStrings.xml" Id="Rfa069cd73d5647af" /><Relationship Type="http://schemas.openxmlformats.org/officeDocument/2006/relationships/worksheet" Target="/xl/worksheets/sheet1.xml" Id="R716f6b96a1924d94" /><Relationship Type="http://schemas.openxmlformats.org/officeDocument/2006/relationships/worksheet" Target="/xl/worksheets/sheet2.xml" Id="R93dcd7e29dec4b75" /><Relationship Type="http://schemas.openxmlformats.org/officeDocument/2006/relationships/worksheet" Target="/xl/worksheets/sheet3.xml" Id="Rd0a8e2b0220d4ba5" /><Relationship Type="http://schemas.openxmlformats.org/officeDocument/2006/relationships/worksheet" Target="/xl/worksheets/sheet4.xml" Id="R3eac5e89d79e4665" /><Relationship Type="http://schemas.openxmlformats.org/officeDocument/2006/relationships/worksheet" Target="/xl/worksheets/sheet5.xml" Id="Rba6512b08e9045d8" /><Relationship Type="http://schemas.openxmlformats.org/officeDocument/2006/relationships/worksheet" Target="/xl/worksheets/sheet6.xml" Id="Rd21724ac9677451b" /><Relationship Type="http://schemas.openxmlformats.org/officeDocument/2006/relationships/worksheet" Target="/xl/worksheets/sheet7.xml" Id="Ra8f00a8c14254370" /><Relationship Type="http://schemas.openxmlformats.org/officeDocument/2006/relationships/worksheet" Target="/xl/worksheets/sheet8.xml" Id="R48e6850903f243f8" /><Relationship Type="http://schemas.openxmlformats.org/officeDocument/2006/relationships/worksheet" Target="/xl/worksheets/sheet9.xml" Id="R33358fc467cd41e2" /><Relationship Type="http://schemas.openxmlformats.org/officeDocument/2006/relationships/worksheet" Target="/xl/worksheets/sheet10.xml" Id="R3c9b8cfc375648e7" /><Relationship Type="http://schemas.openxmlformats.org/officeDocument/2006/relationships/worksheet" Target="/xl/worksheets/sheet11.xml" Id="R508e271d11dd4542" /><Relationship Type="http://schemas.openxmlformats.org/officeDocument/2006/relationships/worksheet" Target="/xl/worksheets/sheet12.xml" Id="Re0e57af217b94f6a" /><Relationship Type="http://schemas.openxmlformats.org/officeDocument/2006/relationships/worksheet" Target="/xl/worksheets/sheet13.xml" Id="R097f08b44fd9486a" /></Relationships>
</file>

<file path=xl/tables/table1.xml><?xml version="1.0" encoding="utf-8"?>
<x:table xmlns:x="http://schemas.openxmlformats.org/spreadsheetml/2006/main" id="3" name="PhaseRoadmapTable" displayName="PhaseRoadmapTable" ref="A3:P19" headerRowCount="1" totalsRowCount="0" totalsRowShown="0">
  <x:autoFilter ref="A3:P19"/>
  <x:tableColumns count="16">
    <x:tableColumn id="1" name="Phase ID"/>
    <x:tableColumn id="2" name="PLAN Phase"/>
    <x:tableColumn id="3" name="Phase State"/>
    <x:tableColumn id="4" name="Maturity"/>
    <x:tableColumn id="5" name="Records Done"/>
    <x:tableColumn id="6" name="Execution Records"/>
    <x:tableColumn id="7" name="Record Progress"/>
    <x:tableColumn id="8" name="In Progress"/>
    <x:tableColumn id="9" name="In Review"/>
    <x:tableColumn id="10" name="Blocked"/>
    <x:tableColumn id="11" name="Not Started"/>
    <x:tableColumn id="12" name="Current Focus"/>
    <x:tableColumn id="13" name="Next Exit Gate"/>
    <x:tableColumn id="14" name="Exit Criteria Summary"/>
    <x:tableColumn id="15" name="Evidence"/>
    <x:tableColumn id="16" name="Upd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WorkItemsTable" displayName="WorkItemsTable" ref="A3:S164" headerRowCount="1" totalsRowCount="0" totalsRowShown="0">
  <x:autoFilter ref="A3:S164"/>
  <x:tableColumns count="19">
    <x:tableColumn id="1" name="Work ID"/>
    <x:tableColumn id="2" name="Phase ID"/>
    <x:tableColumn id="3" name="PLAN Phase"/>
    <x:tableColumn id="4" name="Related Phase(s)"/>
    <x:tableColumn id="5" name="Record Type"/>
    <x:tableColumn id="6" name="Workstream"/>
    <x:tableColumn id="7" name="Work Item"/>
    <x:tableColumn id="8" name="Workflow"/>
    <x:tableColumn id="9" name="Maturity"/>
    <x:tableColumn id="10" name="Priority"/>
    <x:tableColumn id="11" name="Owner"/>
    <x:tableColumn id="12" name="Waiting On / Reviewer"/>
    <x:tableColumn id="13" name="Next Action"/>
    <x:tableColumn id="14" name="Next Check"/>
    <x:tableColumn id="15" name="Evidence"/>
    <x:tableColumn id="16" name="Updated"/>
    <x:tableColumn id="17" name="Scope / Description"/>
    <x:tableColumn id="18" name="Notes / History"/>
    <x:tableColumn id="19" name="Legacy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ReviewQueueTable" displayName="ReviewQueueTable" ref="A3:L7" headerRowCount="1" totalsRowCount="0" totalsRowShown="0">
  <x:autoFilter ref="A3:L7"/>
  <x:tableColumns count="12">
    <x:tableColumn id="1" name="Work ID"/>
    <x:tableColumn id="2" name="Phase"/>
    <x:tableColumn id="3" name="PLAN Phase"/>
    <x:tableColumn id="4" name="Workstream"/>
    <x:tableColumn id="5" name="Work Item"/>
    <x:tableColumn id="6" name="Workflow"/>
    <x:tableColumn id="7" name="Owner"/>
    <x:tableColumn id="8" name="Waiting On / Reviewer"/>
    <x:tableColumn id="9" name="Next Action"/>
    <x:tableColumn id="10" name="Next Check"/>
    <x:tableColumn id="11" name="Evidence"/>
    <x:tableColumn id="12" name="Updat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3:L63" headerRowCount="1" totalsRowCount="0" totalsRowShown="0">
  <x:autoFilter ref="A3:L63"/>
  <x:tableColumns count="12">
    <x:tableColumn id="1" name="Date"/>
    <x:tableColumn id="2" name="Work ID"/>
    <x:tableColumn id="3" name="Phase"/>
    <x:tableColumn id="4" name="Goal"/>
    <x:tableColumn id="5" name="What Changed"/>
    <x:tableColumn id="6" name="Why It Matters"/>
    <x:tableColumn id="7" name="What Did Not Change"/>
    <x:tableColumn id="8" name="Verification / Evidence"/>
    <x:tableColumn id="9" name="Status After"/>
    <x:tableColumn id="10" name="Approval / Blocker"/>
    <x:tableColumn id="11" name="Next Step"/>
    <x:tableColumn id="12" name="Logged B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cisionRegisterTable" displayName="DecisionRegisterTable" ref="A3:J28" headerRowCount="1" totalsRowCount="0" totalsRowShown="0">
  <x:autoFilter ref="A3:J28"/>
  <x:tableColumns count="10">
    <x:tableColumn id="1" name="Decision ID"/>
    <x:tableColumn id="2" name="Phase"/>
    <x:tableColumn id="3" name="Decision / Dependency"/>
    <x:tableColumn id="4" name="Owner"/>
    <x:tableColumn id="5" name="Target"/>
    <x:tableColumn id="6" name="Workflow"/>
    <x:tableColumn id="7" name="Current State"/>
    <x:tableColumn id="8" name="Next Action"/>
    <x:tableColumn id="9" name="Evidence"/>
    <x:tableColumn id="10" name="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1018c19920934e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48f51c6e063b43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eb3347981fce4a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e3a41e263944479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.xml" Id="R2a6f89c65da040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1" hidden="0" customWidth="1"/>
    <x:col min="2" max="2" width="28" hidden="0" customWidth="1"/>
    <x:col min="3" max="3" width="19" hidden="0" customWidth="1"/>
    <x:col min="4" max="4" width="19" hidden="0" customWidth="1"/>
    <x:col min="5" max="5" width="12" hidden="0" customWidth="1"/>
    <x:col min="6" max="6" width="12" hidden="0" customWidth="1"/>
    <x:col min="7" max="26" width="8.710000038146973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43" hidden="0" customWidth="1"/>
    <x:col min="13" max="13" width="43" hidden="0" customWidth="1"/>
    <x:col min="14" max="14" width="38" hidden="0" customWidth="1"/>
  </x:cols>
  <x:sheetData>
    <x:row r="1" ht="42" customHeight="1">
      <x:c r="A1" s="88" t="str">
        <x:v>🌸 Pumdoki Delivery Dashboard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</x:row>
    <x:row r="2" ht="21.75" customHeight="1">
      <x:c r="A2" s="92" t="str">
        <x:v>Updated September 9, 2026. Private R2 photo/video flow verified with real cloud storage. Next: founder reviews the working local upload/publish flow. LLC awaits Maryland approval. Record counts are not launch readiness.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</x:row>
    <x:row r="3" ht="13.5" customHeight="1"/>
    <x:row r="4">
      <x:c r="A4" s="124" t="str">
        <x:v>Current focus</x:v>
      </x:c>
      <x:c r="B4" s="124"/>
      <x:c r="C4" s="124"/>
      <x:c r="D4" s="124"/>
      <x:c r="E4" s="124"/>
      <x:c r="F4" s="124"/>
      <x:c r="G4" s="124"/>
      <x:c r="H4" s="124"/>
      <x:c r="I4" s="124" t="str">
        <x:v>Next founder decision</x:v>
      </x:c>
      <x:c r="J4" s="124"/>
      <x:c r="K4" s="124"/>
      <x:c r="L4" s="124"/>
      <x:c r="M4" s="124"/>
      <x:c r="N4" s="124"/>
    </x:row>
    <x:row r="5" ht="34" customHeight="1">
      <x:c r="A5" s="109" t="str">
        <x:v>Phase</x:v>
      </x:c>
      <x:c r="B5" s="109" t="str">
        <x:v>P05 — First functioning content flow</x:v>
      </x:c>
      <x:c r="D5"/>
      <x:c r="E5"/>
      <x:c r="I5" s="130" t="str">
        <x:v>R2 connection verified: safe photo/video upload, private drafts, publish/member read and removal. Public Access Disabled confirmed in Cloudflare. Next: founder reviews this working local flow. No hosted deployment or processor approval is claimed.</x:v>
      </x:c>
      <x:c r="J5" s="130"/>
      <x:c r="K5" s="130"/>
      <x:c r="L5" s="130"/>
      <x:c r="M5" s="130"/>
      <x:c r="N5" s="130"/>
    </x:row>
    <x:row r="6" ht="34" customHeight="1">
      <x:c r="A6" s="111" t="str">
        <x:v>Work</x:v>
      </x:c>
      <x:c r="B6" s="111" t="str">
        <x:v>Review the working local R2 content flow</x:v>
      </x:c>
      <x:c r="D6"/>
      <x:c r="E6"/>
      <x:c r="I6" s="131"/>
      <x:c r="J6" s="131"/>
      <x:c r="K6" s="131"/>
      <x:c r="L6" s="131"/>
      <x:c r="M6" s="131"/>
      <x:c r="N6" s="131"/>
    </x:row>
    <x:row r="7" ht="34" customHeight="1">
      <x:c r="A7" s="111" t="str">
        <x:v>Workflow</x:v>
      </x:c>
      <x:c r="B7" s="111" t="str">
        <x:v>One task at a time</x:v>
      </x:c>
      <x:c r="I7" s="131"/>
      <x:c r="J7" s="131"/>
      <x:c r="K7" s="131"/>
      <x:c r="L7" s="131"/>
      <x:c r="M7" s="131"/>
      <x:c r="N7" s="131"/>
    </x:row>
    <x:row r="8" ht="34" customHeight="1">
      <x:c r="A8" s="111" t="str">
        <x:v>Scope</x:v>
      </x:c>
      <x:c r="B8" s="111" t="str">
        <x:v>Payment method unresolved. Subscriptions, PPV, Store, Connect, chat and tipping remain launch scope; old Oasis cancelled.</x:v>
      </x:c>
      <x:c r="I8" s="131"/>
      <x:c r="J8" s="131"/>
      <x:c r="K8" s="131"/>
      <x:c r="L8" s="131"/>
      <x:c r="M8" s="131"/>
      <x:c r="N8" s="131"/>
    </x:row>
    <x:row r="9" ht="34" customHeight="1">
      <x:c r="A9" s="111" t="str">
        <x:v>Evidence</x:v>
      </x:c>
      <x:c r="B9" s="111" t="str">
        <x:v>https://github.com/QK-Connoisseur/PDoki/blob/dev/PLAN.md</x:v>
      </x:c>
      <x:c r="I9" s="131" t="str">
        <x:v>Funding notes: founder reports a $1,800 monthly ceiling; this is not lump-sum cash or funded runway. Existing $1,000–$5,000 cash assumptions remain until clarified. See Launch Budget.</x:v>
      </x:c>
      <x:c r="J9" s="131"/>
      <x:c r="K9" s="131"/>
      <x:c r="L9" s="131"/>
      <x:c r="M9" s="131"/>
      <x:c r="N9" s="131"/>
    </x:row>
    <x:row r="10" ht="13.5" customHeight="1"/>
    <x:row r="11">
      <x:c r="A11" s="124" t="str">
        <x:v>Execution summary</x:v>
      </x:c>
      <x:c r="B11" s="124"/>
      <x:c r="C11" s="124"/>
      <x:c r="D11" s="124"/>
      <x:c r="E11" s="124"/>
      <x:c r="F11" s="124"/>
      <x:c r="G11" s="124"/>
      <x:c r="H11" s="124"/>
      <x:c r="I11" s="124"/>
      <x:c r="J11" s="124"/>
      <x:c r="K11" s="124"/>
      <x:c r="L11" s="124"/>
      <x:c r="M11" s="124"/>
      <x:c r="N11" s="124"/>
    </x:row>
    <x:row r="12">
      <x:c r="A12" s="138" t="str">
        <x:v>Execution records</x:v>
      </x:c>
      <x:c r="B12" s="139"/>
      <x:c r="C12" s="138" t="str">
        <x:v>Done</x:v>
      </x:c>
      <x:c r="D12" s="139"/>
      <x:c r="E12" s="138" t="str">
        <x:v>In Progress</x:v>
      </x:c>
      <x:c r="F12" s="139"/>
      <x:c r="G12" s="138" t="str">
        <x:v>In Review</x:v>
      </x:c>
      <x:c r="H12" s="139"/>
      <x:c r="I12" s="138" t="str">
        <x:v>Blocked</x:v>
      </x:c>
      <x:c r="J12" s="139"/>
      <x:c r="K12" s="138" t="str">
        <x:v>Not Started</x:v>
      </x:c>
      <x:c r="L12" s="139"/>
      <x:c r="M12" s="138" t="str">
        <x:v>Record progress</x:v>
      </x:c>
      <x:c r="N12" s="139"/>
    </x:row>
    <x:row r="13" ht="15" hidden="0" customHeight="1">
      <x:c r="A13" s="150" t="n">
        <x:f>COUNTA('Delivery Tracker'!$A$4:$A$400)</x:f>
        <x:v>156</x:v>
      </x:c>
      <x:c r="B13" s="151"/>
      <x:c r="C13" s="150" t="n">
        <x:f>COUNTIF('Delivery Tracker'!$H$4:$H$400,"Done")</x:f>
        <x:v>32</x:v>
      </x:c>
      <x:c r="D13" s="151"/>
      <x:c r="E13" s="150" t="n">
        <x:f>COUNTIF('Delivery Tracker'!$H$4:$H$400,"In Progress")</x:f>
        <x:v>53</x:v>
      </x:c>
      <x:c r="F13" s="151"/>
      <x:c r="G13" s="150" t="n">
        <x:f>COUNTIF('Delivery Tracker'!$H$4:$H$400,"In Review")</x:f>
        <x:v>2</x:v>
      </x:c>
      <x:c r="H13" s="151"/>
      <x:c r="I13" s="150" t="n">
        <x:f>COUNTIF('Delivery Tracker'!$H$4:$H$400,"Blocked")</x:f>
        <x:v>1</x:v>
      </x:c>
      <x:c r="J13" s="151"/>
      <x:c r="K13" s="150" t="n">
        <x:f>COUNTIF('Delivery Tracker'!$H$4:$H$400,"Not Started")</x:f>
        <x:v>66</x:v>
      </x:c>
      <x:c r="L13" s="151"/>
      <x:c r="M13" s="158" t="n">
        <x:f>IF(A13=0,0,C13/A13)</x:f>
        <x:v>0.20512820512820512</x:v>
      </x:c>
      <x:c r="N13" s="151"/>
    </x:row>
    <x:row r="14" ht="15" hidden="0" customHeight="1">
      <x:c r="A14" s="152"/>
      <x:c r="B14" s="153"/>
      <x:c r="C14" s="152"/>
      <x:c r="D14" s="153"/>
      <x:c r="E14" s="152"/>
      <x:c r="F14" s="153"/>
      <x:c r="G14" s="152"/>
      <x:c r="H14" s="153"/>
      <x:c r="I14" s="152"/>
      <x:c r="J14" s="153"/>
      <x:c r="K14" s="152"/>
      <x:c r="L14" s="153"/>
      <x:c r="M14" s="152"/>
      <x:c r="N14" s="153"/>
    </x:row>
    <x:row r="15" ht="15" hidden="0" customHeight="1">
      <x:c r="A15"/>
      <x:c r="C15"/>
    </x:row>
    <x:row r="16" ht="15" hidden="0" customHeight="1">
      <x:c r="A16" s="124" t="str">
        <x:v>Phase roadmap</x:v>
      </x:c>
      <x:c r="B16" s="124"/>
      <x:c r="C16" s="124"/>
      <x:c r="D16" s="124"/>
      <x:c r="E16" s="124"/>
      <x:c r="F16" s="124"/>
      <x:c r="G16" s="124"/>
      <x:c r="H16" s="124"/>
      <x:c r="I16" s="124"/>
      <x:c r="J16" s="124"/>
      <x:c r="K16" s="124"/>
      <x:c r="L16" s="124"/>
      <x:c r="M16" s="124"/>
      <x:c r="N16" s="124"/>
    </x:row>
    <x:row r="17" ht="34" hidden="0" customHeight="1">
      <x:c r="A17" s="98" t="str">
        <x:v>Phase</x:v>
      </x:c>
      <x:c r="B17" s="98" t="str">
        <x:v>PLAN phase</x:v>
      </x:c>
      <x:c r="C17" s="98" t="str">
        <x:v>Phase State</x:v>
      </x:c>
      <x:c r="D17" s="98" t="str">
        <x:v>Maturity</x:v>
      </x:c>
      <x:c r="E17" s="98" t="str">
        <x:v>Records Done</x:v>
      </x:c>
      <x:c r="F17" s="98" t="str">
        <x:v>Execution Records</x:v>
      </x:c>
      <x:c r="G17" s="98" t="str">
        <x:v>Record Progress</x:v>
      </x:c>
      <x:c r="H17" s="98" t="str">
        <x:v>In Progress</x:v>
      </x:c>
      <x:c r="I17" s="98" t="str">
        <x:v>In Review</x:v>
      </x:c>
      <x:c r="J17" s="98" t="str">
        <x:v>Blocked</x:v>
      </x:c>
      <x:c r="K17" s="98" t="str">
        <x:v>Not Started</x:v>
      </x:c>
      <x:c r="L17" s="98" t="str">
        <x:v>Current focus</x:v>
      </x:c>
      <x:c r="M17" s="98" t="str">
        <x:v>Next gate</x:v>
      </x:c>
      <x:c r="N17" s="98" t="str">
        <x:v>Evidence</x:v>
      </x:c>
    </x:row>
    <x:row r="18" ht="48" hidden="0" customHeight="1">
      <x:c r="A18" s="109" t="str">
        <x:f>'Phase Roadmap'!A4</x:f>
        <x:v>P00</x:v>
      </x:c>
      <x:c r="B18" s="109" t="str">
        <x:f>'Phase Roadmap'!B4</x:f>
        <x:v>Baseline, tracker, and scope control</x:v>
      </x:c>
      <x:c r="C18" s="109" t="str">
        <x:f>'Phase Roadmap'!C4</x:f>
        <x:v>Partially Complete</x:v>
      </x:c>
      <x:c r="D18" s="109" t="str">
        <x:f>'Phase Roadmap'!D4</x:f>
        <x:v>Integrated</x:v>
      </x:c>
      <x:c r="E18" s="109" t="n">
        <x:f>'Phase Roadmap'!E4</x:f>
        <x:v>6</x:v>
      </x:c>
      <x:c r="F18" s="109" t="n">
        <x:f>'Phase Roadmap'!F4</x:f>
        <x:v>6</x:v>
      </x:c>
      <x:c r="G18" s="118" t="n">
        <x:f>'Phase Roadmap'!G4</x:f>
        <x:v>1</x:v>
      </x:c>
      <x:c r="H18" s="109" t="n">
        <x:f>'Phase Roadmap'!H4</x:f>
        <x:v>0</x:v>
      </x:c>
      <x:c r="I18" s="109" t="n">
        <x:f>'Phase Roadmap'!I4</x:f>
        <x:v>0</x:v>
      </x:c>
      <x:c r="J18" s="109" t="n">
        <x:f>'Phase Roadmap'!J4</x:f>
        <x:v>0</x:v>
      </x:c>
      <x:c r="K18" s="109" t="n">
        <x:f>'Phase Roadmap'!K4</x:f>
        <x:v>0</x:v>
      </x:c>
      <x:c r="L18" s="109" t="str">
        <x:f>'Phase Roadmap'!L4</x:f>
        <x:v>Maintain the PLAN-aligned execution tracker, decision register, review queue, and daily debrief history.</x:v>
      </x:c>
      <x:c r="M18" s="109" t="str">
        <x:f>'Phase Roadmap'!M4</x:f>
        <x:v>Assign and maintain owners and next-check dates for remaining active decisions; preserve legacy records.</x:v>
      </x:c>
      <x:c r="N18" s="109" t="str">
        <x:f>'Phase Roadmap'!O4</x:f>
        <x:v>https://github.com/QK-Connoisseur/PDoki/pull/13</x:v>
      </x:c>
    </x:row>
    <x:row r="19" ht="48" hidden="0" customHeight="1">
      <x:c r="A19" s="111" t="str">
        <x:f>'Phase Roadmap'!A5</x:f>
        <x:v>P01</x:v>
      </x:c>
      <x:c r="B19" s="111" t="str">
        <x:f>'Phase Roadmap'!B5</x:f>
        <x:v>Repository and frontend foundation</x:v>
      </x:c>
      <x:c r="C19" s="111" t="str">
        <x:f>'Phase Roadmap'!C5</x:f>
        <x:v>Complete</x:v>
      </x:c>
      <x:c r="D19" s="111" t="str">
        <x:f>'Phase Roadmap'!D5</x:f>
        <x:v>Integrated</x:v>
      </x:c>
      <x:c r="E19" s="111" t="n">
        <x:f>'Phase Roadmap'!E5</x:f>
        <x:v>4</x:v>
      </x:c>
      <x:c r="F19" s="111" t="n">
        <x:f>'Phase Roadmap'!F5</x:f>
        <x:v>8</x:v>
      </x:c>
      <x:c r="G19" s="119" t="n">
        <x:f>'Phase Roadmap'!G5</x:f>
        <x:v>0.5</x:v>
      </x:c>
      <x:c r="H19" s="111" t="n">
        <x:f>'Phase Roadmap'!H5</x:f>
        <x:v>4</x:v>
      </x:c>
      <x:c r="I19" s="111" t="n">
        <x:f>'Phase Roadmap'!I5</x:f>
        <x:v>0</x:v>
      </x:c>
      <x:c r="J19" s="111" t="n">
        <x:f>'Phase Roadmap'!J5</x:f>
        <x:v>0</x:v>
      </x:c>
      <x:c r="K19" s="111" t="n">
        <x:f>'Phase Roadmap'!K5</x:f>
        <x:v>0</x:v>
      </x:c>
      <x:c r="L19" s="111" t="str">
        <x:f>'Phase Roadmap'!L5</x:f>
        <x:v>Maintain routing, shared shell, fixtures, CI, error states, and code splitting.</x:v>
      </x:c>
      <x:c r="M19" s="111" t="str">
        <x:f>'Phase Roadmap'!M5</x:f>
        <x:v>No active gate; preserve regression coverage as product phases integrate real data.</x:v>
      </x:c>
      <x:c r="N19" s="111" t="str">
        <x:f>'Phase Roadmap'!O5</x:f>
        <x:v>https://github.com/QK-Connoisseur/PDoki/pull/2</x:v>
      </x:c>
    </x:row>
    <x:row r="20" ht="48" hidden="0" customHeight="1">
      <x:c r="A20" s="111" t="str">
        <x:f>'Phase Roadmap'!A6</x:f>
        <x:v>P02</x:v>
      </x:c>
      <x:c r="B20" s="111" t="str">
        <x:f>'Phase Roadmap'!B6</x:f>
        <x:v>Backend and database foundation</x:v>
      </x:c>
      <x:c r="C20" s="111" t="str">
        <x:f>'Phase Roadmap'!C6</x:f>
        <x:v>Partially Complete</x:v>
      </x:c>
      <x:c r="D20" s="111" t="str">
        <x:f>'Phase Roadmap'!D6</x:f>
        <x:v>Backend Implemented</x:v>
      </x:c>
      <x:c r="E20" s="111" t="n">
        <x:f>'Phase Roadmap'!E6</x:f>
        <x:v>4</x:v>
      </x:c>
      <x:c r="F20" s="111" t="n">
        <x:f>'Phase Roadmap'!F6</x:f>
        <x:v>16</x:v>
      </x:c>
      <x:c r="G20" s="119" t="n">
        <x:f>'Phase Roadmap'!G6</x:f>
        <x:v>0.25</x:v>
      </x:c>
      <x:c r="H20" s="111" t="n">
        <x:f>'Phase Roadmap'!H6</x:f>
        <x:v>7</x:v>
      </x:c>
      <x:c r="I20" s="111" t="n">
        <x:f>'Phase Roadmap'!I6</x:f>
        <x:v>0</x:v>
      </x:c>
      <x:c r="J20" s="111" t="n">
        <x:f>'Phase Roadmap'!J6</x:f>
        <x:v>0</x:v>
      </x:c>
      <x:c r="K20" s="111" t="n">
        <x:f>'Phase Roadmap'!K6</x:f>
        <x:v>5</x:v>
      </x:c>
      <x:c r="L20" s="111" t="str">
        <x:f>'Phase Roadmap'!L6</x:f>
        <x:v>PR #13 published the application-owned PostgreSQL worker foundation and fixed non-secret canary; no product flow uses it.</x:v>
      </x:c>
      <x:c r="M20" s="111" t="str">
        <x:f>'Phase Roadmap'!M6</x:f>
        <x:v>Keep Phase 2 partial: staging, restore/backups, monitoring, Redis/shared throttling, general idempotency, and deployment remain open.</x:v>
      </x:c>
      <x:c r="N20" s="111" t="str">
        <x:f>'Phase Roadmap'!O6</x:f>
        <x:v>https://github.com/QK-Connoisseur/PDoki/pull/13</x:v>
      </x:c>
    </x:row>
    <x:row r="21" ht="48" customHeight="1">
      <x:c r="A21" s="111" t="str">
        <x:f>'Phase Roadmap'!A7</x:f>
        <x:v>P03</x:v>
      </x:c>
      <x:c r="B21" s="111" t="str">
        <x:f>'Phase Roadmap'!B7</x:f>
        <x:v>Authentication, roles, and settings</x:v>
      </x:c>
      <x:c r="C21" s="111" t="str">
        <x:f>'Phase Roadmap'!C7</x:f>
        <x:v>Complete</x:v>
      </x:c>
      <x:c r="D21" s="111" t="str">
        <x:f>'Phase Roadmap'!D7</x:f>
        <x:v>Integrated</x:v>
      </x:c>
      <x:c r="E21" s="111" t="n">
        <x:f>'Phase Roadmap'!E7</x:f>
        <x:v>6</x:v>
      </x:c>
      <x:c r="F21" s="111" t="n">
        <x:f>'Phase Roadmap'!F7</x:f>
        <x:v>8</x:v>
      </x:c>
      <x:c r="G21" s="119" t="n">
        <x:f>'Phase Roadmap'!G7</x:f>
        <x:v>0.75</x:v>
      </x:c>
      <x:c r="H21" s="111" t="n">
        <x:f>'Phase Roadmap'!H7</x:f>
        <x:v>2</x:v>
      </x:c>
      <x:c r="I21" s="111" t="n">
        <x:f>'Phase Roadmap'!I7</x:f>
        <x:v>0</x:v>
      </x:c>
      <x:c r="J21" s="111" t="n">
        <x:f>'Phase Roadmap'!J7</x:f>
        <x:v>0</x:v>
      </x:c>
      <x:c r="K21" s="111" t="n">
        <x:f>'Phase Roadmap'!K7</x:f>
        <x:v>0</x:v>
      </x:c>
      <x:c r="L21" s="111" t="str">
        <x:f>'Phase Roadmap'!L7</x:f>
        <x:v>Maintain the founder-approved reduced core auth/account-security scope.</x:v>
      </x:c>
      <x:c r="M21" s="111" t="str">
        <x:f>'Phase Roadmap'!M7</x:f>
        <x:v>Later Settings domains move only with their dependency phases.</x:v>
      </x:c>
      <x:c r="N21" s="111" t="str">
        <x:f>'Phase Roadmap'!O7</x:f>
        <x:v>https://github.com/QK-Connoisseur/PDoki/blob/dev/PLAN.md#7-phase-3--authentication-roles-and-settings</x:v>
      </x:c>
    </x:row>
    <x:row r="22" ht="48" customHeight="1">
      <x:c r="A22" s="111" t="str">
        <x:f>'Phase Roadmap'!A8</x:f>
        <x:v>P04</x:v>
      </x:c>
      <x:c r="B22" s="111" t="str">
        <x:f>'Phase Roadmap'!B8</x:f>
        <x:v>Legal, trust, and creator onboarding</x:v>
      </x:c>
      <x:c r="C22" s="111" t="str">
        <x:f>'Phase Roadmap'!C8</x:f>
        <x:v>Partially Complete</x:v>
      </x:c>
      <x:c r="D22" s="111" t="str">
        <x:f>'Phase Roadmap'!D8</x:f>
        <x:v>Backend Implemented</x:v>
      </x:c>
      <x:c r="E22" s="111" t="n">
        <x:f>'Phase Roadmap'!E8</x:f>
        <x:v>5</x:v>
      </x:c>
      <x:c r="F22" s="111" t="n">
        <x:f>'Phase Roadmap'!F8</x:f>
        <x:v>35</x:v>
      </x:c>
      <x:c r="G22" s="119" t="n">
        <x:f>'Phase Roadmap'!G8</x:f>
        <x:v>0.14285714285714285</x:v>
      </x:c>
      <x:c r="H22" s="111" t="n">
        <x:f>'Phase Roadmap'!H8</x:f>
        <x:v>18</x:v>
      </x:c>
      <x:c r="I22" s="111" t="n">
        <x:f>'Phase Roadmap'!I8</x:f>
        <x:v>0</x:v>
      </x:c>
      <x:c r="J22" s="111" t="n">
        <x:f>'Phase Roadmap'!J8</x:f>
        <x:v>0</x:v>
      </x:c>
      <x:c r="K22" s="111" t="n">
        <x:f>'Phase Roadmap'!K8</x:f>
        <x:v>12</x:v>
      </x:c>
      <x:c r="L22" s="111" t="str">
        <x:f>'Phase Roadmap'!L8</x:f>
        <x:v>Slices 1–4 published; operations dormant. Maryland approval pending. Initial CCBill reply retained; proposed follow-up cancelled. Founder/provider work now accompanies each functional code slice.</x:v>
      </x:c>
      <x:c r="M22" s="111" t="str">
        <x:f>'Phase Roadmap'!M8</x:f>
        <x:v>Resolve business/legal/provider prerequisites in sequence. G1–G12 apply to operations activation, not all synthetic local product work.</x:v>
      </x:c>
      <x:c r="N22" s="111" t="str">
        <x:f>'Phase Roadmap'!O8</x:f>
        <x:v>https://github.com/QK-Connoisseur/PDoki/pull/15</x:v>
      </x:c>
    </x:row>
    <x:row r="23" ht="48" customHeight="1">
      <x:c r="A23" s="111" t="str">
        <x:f>'Phase Roadmap'!A9</x:f>
        <x:v>P05</x:v>
      </x:c>
      <x:c r="B23" s="111" t="str">
        <x:f>'Phase Roadmap'!B9</x:f>
        <x:v>Media pipeline and content model</x:v>
      </x:c>
      <x:c r="C23" s="111" t="str">
        <x:f>'Phase Roadmap'!C9</x:f>
        <x:v>Partially Complete</x:v>
      </x:c>
      <x:c r="D23" s="111" t="str">
        <x:f>'Phase Roadmap'!D9</x:f>
        <x:v>Backend Implemented</x:v>
      </x:c>
      <x:c r="E23" s="111" t="n">
        <x:f>'Phase Roadmap'!E9</x:f>
        <x:v>1</x:v>
      </x:c>
      <x:c r="F23" s="111" t="n">
        <x:f>'Phase Roadmap'!F9</x:f>
        <x:v>10</x:v>
      </x:c>
      <x:c r="G23" s="119" t="n">
        <x:f>'Phase Roadmap'!G9</x:f>
        <x:v>0.1</x:v>
      </x:c>
      <x:c r="H23" s="111" t="n">
        <x:f>'Phase Roadmap'!H9</x:f>
        <x:v>4</x:v>
      </x:c>
      <x:c r="I23" s="111" t="n">
        <x:f>'Phase Roadmap'!I9</x:f>
        <x:v>2</x:v>
      </x:c>
      <x:c r="J23" s="111" t="n">
        <x:f>'Phase Roadmap'!J9</x:f>
        <x:v>0</x:v>
      </x:c>
      <x:c r="K23" s="111" t="n">
        <x:f>'Phase Roadmap'!K9</x:f>
        <x:v>3</x:v>
      </x:c>
      <x:c r="L23" s="111" t="str">
        <x:f>'Phase Roadmap'!L9</x:f>
        <x:v>Safe photo/video flow now uses private R2 storage. Cloud upload/read, private drafts, publish/feed, ranges, restart persistence and removal are verified. Test accounts only. Hosted review deployment and production media controls remain open.</x:v>
      </x:c>
      <x:c r="M23" s="111" t="str">
        <x:f>'Phase Roadmap'!M9</x:f>
        <x:v>Founder reviews the working local R2 upload/publish flow for this slice. No new signup, paperwork or payment task. Real identity, adult uploads and payments remain disabled. Full P05 exit, deployment and processor approval remain open.</x:v>
      </x:c>
      <x:c r="N23" s="111" t="str">
        <x:f>'Phase Roadmap'!O9</x:f>
        <x:v>HANDOFF.md</x:v>
      </x:c>
    </x:row>
    <x:row r="24" ht="48" customHeight="1">
      <x:c r="A24" s="111" t="str">
        <x:f>'Phase Roadmap'!A10</x:f>
        <x:v>P06</x:v>
      </x:c>
      <x:c r="B24" s="111" t="str">
        <x:f>'Phase Roadmap'!B10</x:f>
        <x:v>Payments, subscriptions, tipping, and PPV</x:v>
      </x:c>
      <x:c r="C24" s="111" t="str">
        <x:f>'Phase Roadmap'!C10</x:f>
        <x:v>Partially Complete</x:v>
      </x:c>
      <x:c r="D24" s="111" t="str">
        <x:f>'Phase Roadmap'!D10</x:f>
        <x:v>UI Prototype</x:v>
      </x:c>
      <x:c r="E24" s="111" t="n">
        <x:f>'Phase Roadmap'!E10</x:f>
        <x:v>0</x:v>
      </x:c>
      <x:c r="F24" s="111" t="n">
        <x:f>'Phase Roadmap'!F10</x:f>
        <x:v>16</x:v>
      </x:c>
      <x:c r="G24" s="119" t="n">
        <x:f>'Phase Roadmap'!G10</x:f>
        <x:v>0</x:v>
      </x:c>
      <x:c r="H24" s="111" t="n">
        <x:f>'Phase Roadmap'!H10</x:f>
        <x:v>3</x:v>
      </x:c>
      <x:c r="I24" s="111" t="n">
        <x:f>'Phase Roadmap'!I10</x:f>
        <x:v>0</x:v>
      </x:c>
      <x:c r="J24" s="111" t="n">
        <x:f>'Phase Roadmap'!J10</x:f>
        <x:v>0</x:v>
      </x:c>
      <x:c r="K24" s="111" t="n">
        <x:f>'Phase Roadmap'!K10</x:f>
        <x:v>13</x:v>
      </x:c>
      <x:c r="L24" s="111" t="str">
        <x:f>'Phase Roadmap'!L10</x:f>
        <x:v>Provider/site preparation is in progress: CCBill Sales replied, safe-content/R2 milestone is verified and policy drafting is commissioned. Payment backend, webhooks and paid entitlements have not started.</x:v>
      </x:c>
      <x:c r="M24" s="111" t="str">
        <x:f>'Phase Roadmap'!M10</x:f>
        <x:v>Continue functioning-site slices; password protection is permitted for later review. Founder reviews the current local flow. Return to CCBill when review-ready; define the supported payment method before integration.</x:v>
      </x:c>
      <x:c r="N24" s="111" t="str">
        <x:f>'Phase Roadmap'!O10</x:f>
        <x:v>https://github.com/QK-Connoisseur/PDoki/blob/dev/PLAN.md</x:v>
      </x:c>
    </x:row>
    <x:row r="25" ht="48" customHeight="1">
      <x:c r="A25" s="111" t="str">
        <x:f>'Phase Roadmap'!A11</x:f>
        <x:v>P07</x:v>
      </x:c>
      <x:c r="B25" s="111" t="str">
        <x:f>'Phase Roadmap'!B11</x:f>
        <x:v>Core end-to-end vertical slice</x:v>
      </x:c>
      <x:c r="C25" s="111" t="str">
        <x:f>'Phase Roadmap'!C11</x:f>
        <x:v>Blocked</x:v>
      </x:c>
      <x:c r="D25" s="111" t="str">
        <x:f>'Phase Roadmap'!D11</x:f>
        <x:v>N/A</x:v>
      </x:c>
      <x:c r="E25" s="111" t="n">
        <x:f>'Phase Roadmap'!E11</x:f>
        <x:v>0</x:v>
      </x:c>
      <x:c r="F25" s="111" t="n">
        <x:f>'Phase Roadmap'!F11</x:f>
        <x:v>1</x:v>
      </x:c>
      <x:c r="G25" s="119" t="n">
        <x:f>'Phase Roadmap'!G11</x:f>
        <x:v>0</x:v>
      </x:c>
      <x:c r="H25" s="111" t="n">
        <x:f>'Phase Roadmap'!H11</x:f>
        <x:v>0</x:v>
      </x:c>
      <x:c r="I25" s="111" t="n">
        <x:f>'Phase Roadmap'!I11</x:f>
        <x:v>0</x:v>
      </x:c>
      <x:c r="J25" s="111" t="n">
        <x:f>'Phase Roadmap'!J11</x:f>
        <x:v>1</x:v>
      </x:c>
      <x:c r="K25" s="111" t="n">
        <x:f>'Phase Roadmap'!K11</x:f>
        <x:v>0</x:v>
      </x:c>
      <x:c r="L25" s="111" t="str">
        <x:f>'Phase Roadmap'!L11</x:f>
        <x:v>Core journey still needs creator, content/access and operations controls. Apply payment dependencies to the chosen beta method.</x:v>
      </x:c>
      <x:c r="M25" s="111" t="str">
        <x:f>'Phase Roadmap'!M11</x:f>
        <x:v>Continue safe test flows. Define the beta payment model with its slice; any paid flow requires processor confirmation, entitlements, auditable earnings and reconciliation.</x:v>
      </x:c>
      <x:c r="N25" s="111" t="str">
        <x:f>'Phase Roadmap'!O11</x:f>
        <x:v>https://github.com/QK-Connoisseur/PDoki/blob/dev/PLAN.md#11-phase-7--core-end-to-end-vertical-slice</x:v>
      </x:c>
    </x:row>
    <x:row r="26" ht="48" customHeight="1">
      <x:c r="A26" s="111" t="str">
        <x:f>'Phase Roadmap'!A12</x:f>
        <x:v>P08</x:v>
      </x:c>
      <x:c r="B26" s="111" t="str">
        <x:f>'Phase Roadmap'!B12</x:f>
        <x:v>Feed, social actions, Store, and Connect</x:v>
      </x:c>
      <x:c r="C26" s="111" t="str">
        <x:f>'Phase Roadmap'!C12</x:f>
        <x:v>Partially Complete</x:v>
      </x:c>
      <x:c r="D26" s="111" t="str">
        <x:f>'Phase Roadmap'!D12</x:f>
        <x:v>UI Prototype</x:v>
      </x:c>
      <x:c r="E26" s="111" t="n">
        <x:f>'Phase Roadmap'!E12</x:f>
        <x:v>4</x:v>
      </x:c>
      <x:c r="F26" s="111" t="n">
        <x:f>'Phase Roadmap'!F12</x:f>
        <x:v>10</x:v>
      </x:c>
      <x:c r="G26" s="119" t="n">
        <x:f>'Phase Roadmap'!G12</x:f>
        <x:v>0.4</x:v>
      </x:c>
      <x:c r="H26" s="111" t="n">
        <x:f>'Phase Roadmap'!H12</x:f>
        <x:v>6</x:v>
      </x:c>
      <x:c r="I26" s="111" t="n">
        <x:f>'Phase Roadmap'!I12</x:f>
        <x:v>0</x:v>
      </x:c>
      <x:c r="J26" s="111" t="n">
        <x:f>'Phase Roadmap'!J12</x:f>
        <x:v>0</x:v>
      </x:c>
      <x:c r="K26" s="111" t="n">
        <x:f>'Phase Roadmap'!K12</x:f>
        <x:v>0</x:v>
      </x:c>
      <x:c r="L26" s="111" t="str">
        <x:f>'Phase Roadmap'!L12</x:f>
        <x:v>Feed, Store and Connect remain launch scope (online/price/language discovery). Your Activity /activity UI is an explicit example-data preview; real member history remains pending.</x:v>
      </x:c>
      <x:c r="M26" s="111" t="str">
        <x:f>'Phase Roadmap'!M12</x:f>
        <x:v>Integrate content/access, service/order and beta payment rules. Connect Your Activity to authenticated P05/P06/P07 data.</x:v>
      </x:c>
      <x:c r="N26" s="111" t="str">
        <x:f>'Phase Roadmap'!O12</x:f>
        <x:v>https://github.com/QK-Connoisseur/PDoki/blob/dev/PLAN.md#12-phase-8--feed-social-actions-store-and-connect</x:v>
      </x:c>
    </x:row>
    <x:row r="27" ht="48" customHeight="1">
      <x:c r="A27" s="111" t="str">
        <x:f>'Phase Roadmap'!A13</x:f>
        <x:v>P09</x:v>
      </x:c>
      <x:c r="B27" s="111" t="str">
        <x:f>'Phase Roadmap'!B13</x:f>
        <x:v>Real-time messaging and notifications</x:v>
      </x:c>
      <x:c r="C27" s="111" t="str">
        <x:f>'Phase Roadmap'!C13</x:f>
        <x:v>Partially Complete</x:v>
      </x:c>
      <x:c r="D27" s="111" t="str">
        <x:f>'Phase Roadmap'!D13</x:f>
        <x:v>UI Prototype</x:v>
      </x:c>
      <x:c r="E27" s="111" t="n">
        <x:f>'Phase Roadmap'!E13</x:f>
        <x:v>1</x:v>
      </x:c>
      <x:c r="F27" s="111" t="n">
        <x:f>'Phase Roadmap'!F13</x:f>
        <x:v>4</x:v>
      </x:c>
      <x:c r="G27" s="119" t="n">
        <x:f>'Phase Roadmap'!G13</x:f>
        <x:v>0.25</x:v>
      </x:c>
      <x:c r="H27" s="111" t="n">
        <x:f>'Phase Roadmap'!H13</x:f>
        <x:v>2</x:v>
      </x:c>
      <x:c r="I27" s="111" t="n">
        <x:f>'Phase Roadmap'!I13</x:f>
        <x:v>0</x:v>
      </x:c>
      <x:c r="J27" s="111" t="n">
        <x:f>'Phase Roadmap'!J13</x:f>
        <x:v>0</x:v>
      </x:c>
      <x:c r="K27" s="111" t="n">
        <x:f>'Phase Roadmap'!K13</x:f>
        <x:v>1</x:v>
      </x:c>
      <x:c r="L27" s="111" t="str">
        <x:f>'Phase Roadmap'!L13</x:f>
        <x:v>Real-time direct chat remains required at launch. Prototype bell/activities do not establish persisted product notifications.</x:v>
      </x:c>
      <x:c r="M27" s="111" t="str">
        <x:f>'Phase Roadmap'!M13</x:f>
        <x:v>Approve conversation/message persistence and WebSocket authorization design.</x:v>
      </x:c>
      <x:c r="N27" s="111" t="str">
        <x:f>'Phase Roadmap'!O13</x:f>
        <x:v>https://github.com/QK-Connoisseur/PDoki/blob/dev/PLAN.md#13-phase-9--real-time-messaging-and-notifications</x:v>
      </x:c>
    </x:row>
    <x:row r="28" ht="48" customHeight="1">
      <x:c r="A28" s="111" t="str">
        <x:f>'Phase Roadmap'!A14</x:f>
        <x:v>P10</x:v>
      </x:c>
      <x:c r="B28" s="111" t="str">
        <x:f>'Phase Roadmap'!B14</x:f>
        <x:v>Creator dashboard</x:v>
      </x:c>
      <x:c r="C28" s="111" t="str">
        <x:f>'Phase Roadmap'!C14</x:f>
        <x:v>Partially Complete</x:v>
      </x:c>
      <x:c r="D28" s="111" t="str">
        <x:f>'Phase Roadmap'!D14</x:f>
        <x:v>UI Prototype</x:v>
      </x:c>
      <x:c r="E28" s="111" t="n">
        <x:f>'Phase Roadmap'!E14</x:f>
        <x:v>0</x:v>
      </x:c>
      <x:c r="F28" s="111" t="n">
        <x:f>'Phase Roadmap'!F14</x:f>
        <x:v>1</x:v>
      </x:c>
      <x:c r="G28" s="119" t="n">
        <x:f>'Phase Roadmap'!G14</x:f>
        <x:v>0</x:v>
      </x:c>
      <x:c r="H28" s="111" t="n">
        <x:f>'Phase Roadmap'!H14</x:f>
        <x:v>1</x:v>
      </x:c>
      <x:c r="I28" s="111" t="n">
        <x:f>'Phase Roadmap'!I14</x:f>
        <x:v>0</x:v>
      </x:c>
      <x:c r="J28" s="111" t="n">
        <x:f>'Phase Roadmap'!J14</x:f>
        <x:v>0</x:v>
      </x:c>
      <x:c r="K28" s="111" t="n">
        <x:f>'Phase Roadmap'!K14</x:f>
        <x:v>0</x:v>
      </x:c>
      <x:c r="L28" s="111" t="str">
        <x:f>'Phase Roadmap'!L14</x:f>
        <x:v>Large UI prototype exists; backend data, actions, and financial reconciliation are absent.</x:v>
      </x:c>
      <x:c r="M28" s="111" t="str">
        <x:f>'Phase Roadmap'!M14</x:f>
        <x:v>Connect dashboard modules only after their source domains are implemented.</x:v>
      </x:c>
      <x:c r="N28" s="111" t="str">
        <x:f>'Phase Roadmap'!O14</x:f>
        <x:v>https://github.com/QK-Connoisseur/PDoki/blob/dev/PLAN.md#14-phase-10--creator-dashboard</x:v>
      </x:c>
    </x:row>
    <x:row r="29" ht="48" customHeight="1">
      <x:c r="A29" s="111" t="str">
        <x:f>'Phase Roadmap'!A15</x:f>
        <x:v>P11</x:v>
      </x:c>
      <x:c r="B29" s="111" t="str">
        <x:f>'Phase Roadmap'!B15</x:f>
        <x:v>Admin and moderation</x:v>
      </x:c>
      <x:c r="C29" s="111" t="str">
        <x:f>'Phase Roadmap'!C15</x:f>
        <x:v>Blocked</x:v>
      </x:c>
      <x:c r="D29" s="111" t="str">
        <x:f>'Phase Roadmap'!D15</x:f>
        <x:v>Backend Implemented</x:v>
      </x:c>
      <x:c r="E29" s="111" t="n">
        <x:f>'Phase Roadmap'!E15</x:f>
        <x:v>0</x:v>
      </x:c>
      <x:c r="F29" s="111" t="n">
        <x:f>'Phase Roadmap'!F15</x:f>
        <x:v>14</x:v>
      </x:c>
      <x:c r="G29" s="119" t="n">
        <x:f>'Phase Roadmap'!G15</x:f>
        <x:v>0</x:v>
      </x:c>
      <x:c r="H29" s="111" t="n">
        <x:f>'Phase Roadmap'!H15</x:f>
        <x:v>2</x:v>
      </x:c>
      <x:c r="I29" s="111" t="n">
        <x:f>'Phase Roadmap'!I15</x:f>
        <x:v>0</x:v>
      </x:c>
      <x:c r="J29" s="111" t="n">
        <x:f>'Phase Roadmap'!J15</x:f>
        <x:v>0</x:v>
      </x:c>
      <x:c r="K29" s="111" t="n">
        <x:f>'Phase Roadmap'!K15</x:f>
        <x:v>12</x:v>
      </x:c>
      <x:c r="L29" s="111" t="str">
        <x:f>'Phase Roadmap'!L15</x:f>
        <x:v>Dormant operations source remains parked. The next planned P05 test-content flow pairs storage decisions with implementation. No deployment, live payment or identity activation is implied.</x:v>
      </x:c>
      <x:c r="M29" s="111" t="str">
        <x:f>'Phase Roadmap'!M15</x:f>
        <x:v>Evaluate provider, restricted hosting, MFA/recovery, session, permission, audit and deployment controls when activating real operations.</x:v>
      </x:c>
      <x:c r="N29" s="111" t="str">
        <x:f>'Phase Roadmap'!O15</x:f>
        <x:v>https://github.com/QK-Connoisseur/PDoki/pull/15</x:v>
      </x:c>
    </x:row>
    <x:row r="30" ht="48" customHeight="1">
      <x:c r="A30" s="111" t="str">
        <x:f>'Phase Roadmap'!A16</x:f>
        <x:v>P12</x:v>
      </x:c>
      <x:c r="B30" s="111" t="str">
        <x:f>'Phase Roadmap'!B16</x:f>
        <x:v>Oasis replacement concept (post-launch)</x:v>
      </x:c>
      <x:c r="C30" s="111" t="str">
        <x:f>'Phase Roadmap'!C16</x:f>
        <x:v>Deferred</x:v>
      </x:c>
      <x:c r="D30" s="111" t="str">
        <x:f>'Phase Roadmap'!D16</x:f>
        <x:v>UI Prototype</x:v>
      </x:c>
      <x:c r="E30" s="111" t="n">
        <x:f>'Phase Roadmap'!E16</x:f>
        <x:v>0</x:v>
      </x:c>
      <x:c r="F30" s="111" t="n">
        <x:f>'Phase Roadmap'!F16</x:f>
        <x:v>2</x:v>
      </x:c>
      <x:c r="G30" s="119" t="n">
        <x:f>'Phase Roadmap'!G16</x:f>
        <x:v>0</x:v>
      </x:c>
      <x:c r="H30" s="111" t="n">
        <x:f>'Phase Roadmap'!H16</x:f>
        <x:v>0</x:v>
      </x:c>
      <x:c r="I30" s="111" t="n">
        <x:f>'Phase Roadmap'!I16</x:f>
        <x:v>0</x:v>
      </x:c>
      <x:c r="J30" s="111" t="n">
        <x:f>'Phase Roadmap'!J16</x:f>
        <x:v>0</x:v>
      </x:c>
      <x:c r="K30" s="111" t="n">
        <x:f>'Phase Roadmap'!K16</x:f>
        <x:v>0</x:v>
      </x:c>
      <x:c r="L30" s="111" t="str">
        <x:f>'Phase Roadmap'!L16</x:f>
        <x:v>Old Oasis/Drimy game CANCELLED on September 6, 2026. Name may be reused for day/friend streaks and playful adult language learning.</x:v>
      </x:c>
      <x:c r="M30" s="111" t="str">
        <x:f>'Phase Roadmap'!M16</x:f>
        <x:v>No launch gate. Define the replacement after launch; opt-in roasting and language concept remain unimplemented.</x:v>
      </x:c>
      <x:c r="N30" s="111" t="str">
        <x:f>'Phase Roadmap'!O16</x:f>
        <x:v>https://github.com/QK-Connoisseur/PDoki/blob/dev/PLAN.md</x:v>
      </x:c>
    </x:row>
    <x:row r="31" ht="48" customHeight="1">
      <x:c r="A31" s="111" t="str">
        <x:f>'Phase Roadmap'!A17</x:f>
        <x:v>P13</x:v>
      </x:c>
      <x:c r="B31" s="111" t="str">
        <x:f>'Phase Roadmap'!B17</x:f>
        <x:v>Internationalization and accessibility</x:v>
      </x:c>
      <x:c r="C31" s="111" t="str">
        <x:f>'Phase Roadmap'!C17</x:f>
        <x:v>Partially Complete</x:v>
      </x:c>
      <x:c r="D31" s="111" t="str">
        <x:f>'Phase Roadmap'!D17</x:f>
        <x:v>UI Prototype</x:v>
      </x:c>
      <x:c r="E31" s="111" t="n">
        <x:f>'Phase Roadmap'!E17</x:f>
        <x:v>0</x:v>
      </x:c>
      <x:c r="F31" s="111" t="n">
        <x:f>'Phase Roadmap'!F17</x:f>
        <x:v>2</x:v>
      </x:c>
      <x:c r="G31" s="119" t="n">
        <x:f>'Phase Roadmap'!G17</x:f>
        <x:v>0</x:v>
      </x:c>
      <x:c r="H31" s="111" t="n">
        <x:f>'Phase Roadmap'!H17</x:f>
        <x:v>1</x:v>
      </x:c>
      <x:c r="I31" s="111" t="n">
        <x:f>'Phase Roadmap'!I17</x:f>
        <x:v>0</x:v>
      </x:c>
      <x:c r="J31" s="111" t="n">
        <x:f>'Phase Roadmap'!J17</x:f>
        <x:v>0</x:v>
      </x:c>
      <x:c r="K31" s="111" t="n">
        <x:f>'Phase Roadmap'!K17</x:f>
        <x:v>1</x:v>
      </x:c>
      <x:c r="L31" s="111" t="str">
        <x:f>'Phase Roadmap'!L17</x:f>
        <x:v>Scattered responsive/accessibility work exists; bilingual core flows and a formal audit remain open.</x:v>
      </x:c>
      <x:c r="M31" s="111" t="str">
        <x:f>'Phase Roadmap'!M17</x:f>
        <x:v>Extract UI copy and scope English/Spanish plus keyboard, focus, contrast, screen-reader, and reduced-motion work.</x:v>
      </x:c>
      <x:c r="N31" s="111" t="str">
        <x:f>'Phase Roadmap'!O17</x:f>
        <x:v>https://github.com/QK-Connoisseur/PDoki/blob/dev/PLAN.md#17-phase-13--internationalization-and-accessibility</x:v>
      </x:c>
    </x:row>
    <x:row r="32" ht="48" customHeight="1">
      <x:c r="A32" s="111" t="str">
        <x:f>'Phase Roadmap'!A18</x:f>
        <x:v>P14</x:v>
      </x:c>
      <x:c r="B32" s="111" t="str">
        <x:f>'Phase Roadmap'!B18</x:f>
        <x:v>QA, security, private beta, and launch</x:v>
      </x:c>
      <x:c r="C32" s="111" t="str">
        <x:f>'Phase Roadmap'!C18</x:f>
        <x:v>Partially Complete</x:v>
      </x:c>
      <x:c r="D32" s="111" t="str">
        <x:f>'Phase Roadmap'!D18</x:f>
        <x:v>Integrated</x:v>
      </x:c>
      <x:c r="E32" s="111" t="n">
        <x:f>'Phase Roadmap'!E18</x:f>
        <x:v>1</x:v>
      </x:c>
      <x:c r="F32" s="111" t="n">
        <x:f>'Phase Roadmap'!F18</x:f>
        <x:v>22</x:v>
      </x:c>
      <x:c r="G32" s="119" t="n">
        <x:f>'Phase Roadmap'!G18</x:f>
        <x:v>0.045454545454545456</x:v>
      </x:c>
      <x:c r="H32" s="111" t="n">
        <x:f>'Phase Roadmap'!H18</x:f>
        <x:v>3</x:v>
      </x:c>
      <x:c r="I32" s="111" t="n">
        <x:f>'Phase Roadmap'!I18</x:f>
        <x:v>0</x:v>
      </x:c>
      <x:c r="J32" s="111" t="n">
        <x:f>'Phase Roadmap'!J18</x:f>
        <x:v>0</x:v>
      </x:c>
      <x:c r="K32" s="111" t="n">
        <x:f>'Phase Roadmap'!K18</x:f>
        <x:v>18</x:v>
      </x:c>
      <x:c r="L32" s="111" t="str">
        <x:f>'Phase Roadmap'!L18</x:f>
        <x:v>CI/E2E foundations and the deterministic promotion clock fix are published; product E2E, security drills, beta, and launch gates remain open.</x:v>
      </x:c>
      <x:c r="M32" s="111" t="str">
        <x:f>'Phase Roadmap'!M18</x:f>
        <x:v>Verify applicable creator, content, security, recovery and support controls for beta. Paid flows also need processor and payment controls.</x:v>
      </x:c>
      <x:c r="N32" s="111" t="str">
        <x:f>'Phase Roadmap'!O18</x:f>
        <x:v>https://github.com/QK-Connoisseur/PDoki/actions/runs/32535922437</x:v>
      </x:c>
    </x:row>
    <x:row r="33" ht="15.75" customHeight="1"/>
    <x:row r="34" ht="15.75" customHeight="1">
      <x:c r="A34" s="124" t="str">
        <x:v>How to use this workbook</x:v>
      </x:c>
      <x:c r="B34" s="124"/>
      <x:c r="C34" s="124"/>
      <x:c r="D34" s="124"/>
      <x:c r="E34" s="124"/>
      <x:c r="F34" s="124"/>
      <x:c r="G34" s="124"/>
      <x:c r="H34" s="124"/>
      <x:c r="I34" s="124"/>
      <x:c r="J34" s="124"/>
      <x:c r="K34" s="124"/>
      <x:c r="L34" s="124"/>
      <x:c r="M34" s="124"/>
      <x:c r="N34" s="124"/>
    </x:row>
    <x:row r="35" ht="48" customHeight="1">
      <x:c r="A35" s="109" t="str">
        <x:v>1</x:v>
      </x:c>
      <x:c r="B35" s="109" t="str">
        <x:v>One functional slice at a time. R2 setup and safe-media integration are verified. Next: founder reviews the working local upload/publish flow to close this slice. CCBill follow-up stays cancelled; live sensitive use remains unavailable.</x:v>
      </x:c>
      <x:c r="C35" s="109" t="str">
        <x:v>2</x:v>
      </x:c>
      <x:c r="D35" s="109" t="str">
        <x:v>Use Delivery Tracker for canonical execution status.</x:v>
      </x:c>
      <x:c r="E35" s="109" t="str">
        <x:v>3</x:v>
      </x:c>
      <x:c r="F35" s="109" t="str">
        <x:v>Use Phase Roadmap for evidence-based phase state and exit gates.</x:v>
      </x:c>
      <x:c r="G35" s="109" t="str">
        <x:v>4</x:v>
      </x:c>
      <x:c r="H35" s="109" t="str">
        <x:v>Use Daily Log for each meaningful work-session debrief.</x:v>
      </x:c>
      <x:c r="I35" s="109" t="str">
        <x:v>5</x:v>
      </x:c>
      <x:c r="J35" s="109" t="str">
        <x:v>Master Tracker remains the preserved legacy source.</x:v>
      </x:c>
      <x:c r="K35" s="109" t="str"/>
      <x:c r="L35" s="109" t="str"/>
      <x:c r="M35" s="109" t="str"/>
      <x:c r="N35" s="109" t="str"/>
    </x:row>
    <x:row r="36" ht="48" customHeight="1">
      <x:c r="A36" s="111" t="str">
        <x:v>Review rule</x:v>
      </x:c>
      <x:c r="B36" s="111" t="str">
        <x:v>Open PR/review artifact → In Review. Green CI does not equal Done.</x:v>
      </x:c>
      <x:c r="C36" s="111" t="str">
        <x:v>Done rule</x:v>
      </x:c>
      <x:c r="D36" s="111" t="str">
        <x:v>Accepted and verified defined scope; not automatically production-ready.</x:v>
      </x:c>
      <x:c r="E36" s="111" t="str">
        <x:v>Phase 2</x:v>
      </x:c>
      <x:c r="F36" s="111" t="str">
        <x:v>PR #13 is merged and CI-verified; the fixed canary foundation is Done while Phase 2 remains partial.</x:v>
      </x:c>
      <x:c r="G36" s="111" t="str">
        <x:v>Phase 4</x:v>
      </x:c>
      <x:c r="H36" s="111" t="str">
        <x:v>Slices 1–3 are published; further operations work is parked. Activation controls remain unevaluated.</x:v>
      </x:c>
      <x:c r="I36" s="111" t="str">
        <x:v>Post-MVP</x:v>
      </x:c>
      <x:c r="J36" s="111" t="str">
        <x:v>Still tracked in Backlog and POST phase.</x:v>
      </x:c>
      <x:c r="K36" s="111" t="str"/>
      <x:c r="L36" s="111" t="str"/>
      <x:c r="M36" s="111" t="str"/>
      <x:c r="N36" s="111" t="str"/>
    </x:row>
    <x:row r="37" ht="48" customHeight="1">
      <x:c r="A37" s="111" t="str">
        <x:v>Legacy preservation</x:v>
      </x:c>
      <x:c r="B37" s="111" t="str">
        <x:v>No legacy task, note, backlog item, assumption, or expense value was deleted.</x:v>
      </x:c>
      <x:c r="C37" s="111" t="str">
        <x:v>Expense QC</x:v>
      </x:c>
      <x:c r="D37" s="111" t="str">
        <x:v>Year 1 arithmetic corrected to $2,366; original $1,713 retained. Use Launch Budget for current estimates.</x:v>
      </x:c>
      <x:c r="E37" s="111" t="str">
        <x:v>Daily cadence</x:v>
      </x:c>
      <x:c r="F37" s="111" t="str">
        <x:v>Update active/review/blocked rows after work; review priorities weekly.</x:v>
      </x:c>
      <x:c r="G37" s="111" t="str">
        <x:v>Evidence</x:v>
      </x:c>
      <x:c r="H37" s="111" t="str">
        <x:v>Use PR, commit, CI, or architecture URLs—not copied technical test matrices.</x:v>
      </x:c>
      <x:c r="I37" s="111" t="str"/>
      <x:c r="J37" s="111" t="str"/>
      <x:c r="K37" s="111" t="str"/>
      <x:c r="L37" s="111" t="str"/>
      <x:c r="M37" s="111" t="str"/>
      <x:c r="N37" s="111" t="str"/>
    </x:row>
    <x:row r="38" ht="48" customHeight="1">
      <x:c r="A38" s="111" t="str">
        <x:v>Source of truth</x:v>
      </x:c>
      <x:c r="B38" s="111" t="str">
        <x:v>PLAN.md = phase architecture; Delivery Tracker = current execution; HANDOFF.md = active technical evidence.</x:v>
      </x:c>
      <x:c r="C38" s="111" t="str">
        <x:v>Metric rule</x:v>
      </x:c>
      <x:c r="D38" s="111" t="str">
        <x:v>Record progress counts preserved/current records; Phase State is the canonical PLAN judgment.</x:v>
      </x:c>
      <x:c r="E38" s="111" t="str">
        <x:v>Published base</x:v>
      </x:c>
      <x:c r="F38" s="111" t="str">
        <x:v>See HANDOFF.md for verified current branches</x:v>
      </x:c>
      <x:c r="G38" s="111" t="str">
        <x:v>Latest merge</x:v>
      </x:c>
      <x:c r="H38" s="111" t="str">
        <x:v>Slice 3: PR #15; Slice 4: PR #17 merged in dev 56cb0ad</x:v>
      </x:c>
      <x:c r="I38" s="111" t="str">
        <x:v>Next founder task</x:v>
      </x:c>
      <x:c r="J38" s="111" t="str">
        <x:v>Founder reviews the working local R2 upload, draft, publish and removal flow.</x:v>
      </x:c>
      <x:c r="K38" s="111" t="str"/>
      <x:c r="L38" s="111" t="str"/>
      <x:c r="M38" s="111" t="str"/>
      <x:c r="N38" s="111" t="str"/>
    </x:row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N1"/>
    <x:mergeCell ref="A2:N2"/>
    <x:mergeCell ref="A4:H4"/>
    <x:mergeCell ref="I4:N4"/>
    <x:mergeCell ref="I5:N8"/>
    <x:mergeCell ref="I9:N9"/>
    <x:mergeCell ref="A11:N11"/>
    <x:mergeCell ref="A12:B12"/>
    <x:mergeCell ref="A13:B14"/>
    <x:mergeCell ref="C12:D12"/>
    <x:mergeCell ref="C13:D14"/>
    <x:mergeCell ref="E12:F12"/>
    <x:mergeCell ref="E13:F14"/>
    <x:mergeCell ref="G12:H12"/>
    <x:mergeCell ref="G13:H14"/>
    <x:mergeCell ref="I12:J12"/>
    <x:mergeCell ref="I13:J14"/>
    <x:mergeCell ref="K12:L12"/>
    <x:mergeCell ref="K13:L14"/>
    <x:mergeCell ref="M12:N12"/>
    <x:mergeCell ref="M13:N14"/>
    <x:mergeCell ref="A16:N16"/>
    <x:mergeCell ref="A34:N34"/>
  </x:mergeCells>
  <x:conditionalFormatting sqref="C18:C32">
    <x:cfRule type="containsText" dxfId="68" priority="1" operator="containsText" text="Deferr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40" customWidth="1"/>
    <x:col min="2" max="2" width="144.57000732421875" customWidth="1"/>
    <x:col min="3" max="3" width="18" customWidth="1"/>
    <x:col min="4" max="4" width="112.86000061035156" customWidth="1"/>
    <x:col min="5" max="5" width="9.710000038146973" customWidth="1"/>
    <x:col min="6" max="25" width="8.710000038146973" customWidth="1"/>
  </x:cols>
  <x:sheetData>
    <x:row r="1" ht="42" customHeight="1">
      <x:c r="A1" s="1" t="s">
        <x:v>0</x:v>
      </x:c>
      <x:c r="B1" s="2"/>
      <x:c r="C1" s="2"/>
      <x:c r="D1" s="3"/>
      <x:c r="E1" s="12"/>
    </x:row>
    <x:row r="2" ht="24" customHeight="1">
      <x:c r="A2" s="13" t="s">
        <x:v>1</x:v>
      </x:c>
      <x:c r="B2" s="2"/>
      <x:c r="C2" s="2"/>
      <x:c r="D2" s="3"/>
      <x:c r="E2" s="12"/>
    </x:row>
    <x:row r="3" ht="25.5" customHeight="1">
      <x:c r="A3" s="14" t="s">
        <x:v>2</x:v>
      </x:c>
      <x:c r="B3" s="14" t="s">
        <x:v>3</x:v>
      </x:c>
      <x:c r="C3" s="14" t="s">
        <x:v>4</x:v>
      </x:c>
      <x:c r="D3" s="14" t="s">
        <x:v>5</x:v>
      </x:c>
      <x:c r="E3" s="12"/>
    </x:row>
    <x:row r="4" ht="27.75" customHeight="1">
      <x:c r="A4" s="15" t="s">
        <x:v>6</x:v>
      </x:c>
      <x:c r="B4" s="2"/>
      <x:c r="C4" s="2"/>
      <x:c r="D4" s="3"/>
    </x:row>
    <x:row r="5">
      <x:c r="A5" s="16" t="s">
        <x:v>7</x:v>
      </x:c>
      <x:c r="B5" s="17" t="s">
        <x:v>8</x:v>
      </x:c>
      <x:c r="C5" s="18" t="s">
        <x:v>9</x:v>
      </x:c>
      <x:c r="D5" s="19" t="s">
        <x:v>10</x:v>
      </x:c>
    </x:row>
    <x:row r="6">
      <x:c r="A6" s="20" t="s">
        <x:v>11</x:v>
      </x:c>
      <x:c r="B6" s="21" t="s">
        <x:v>12</x:v>
      </x:c>
      <x:c r="C6" s="18" t="s">
        <x:v>9</x:v>
      </x:c>
      <x:c r="D6" s="22" t="s">
        <x:v>13</x:v>
      </x:c>
    </x:row>
    <x:row r="7">
      <x:c r="A7" s="16" t="s">
        <x:v>14</x:v>
      </x:c>
      <x:c r="B7" s="17" t="s">
        <x:v>15</x:v>
      </x:c>
      <x:c r="C7" s="18" t="s">
        <x:v>9</x:v>
      </x:c>
      <x:c r="D7" s="19" t="s">
        <x:v>16</x:v>
      </x:c>
    </x:row>
    <x:row r="8" ht="15" hidden="0" customHeight="1">
      <x:c r="A8" s="20" t="s">
        <x:v>17</x:v>
      </x:c>
      <x:c r="B8" s="21" t="s">
        <x:v>18</x:v>
      </x:c>
      <x:c r="C8" s="23" t="str">
        <x:v>✅ Done</x:v>
      </x:c>
      <x:c r="D8" s="22" t="str">
        <x:v>Dependency-ordered PLAN.md is established and current through the merged PR #1–#3 baseline; tracker reconciliation is now ongoing maintenance.</x:v>
      </x:c>
    </x:row>
    <x:row r="9">
      <x:c r="A9" s="16" t="s">
        <x:v>19</x:v>
      </x:c>
      <x:c r="B9" s="17" t="s">
        <x:v>20</x:v>
      </x:c>
      <x:c r="C9" s="24" t="s">
        <x:v>21</x:v>
      </x:c>
      <x:c r="D9" s="19" t="s">
        <x:v>22</x:v>
      </x:c>
    </x:row>
    <x:row r="10" ht="27.75" customHeight="1">
      <x:c r="A10" s="15" t="s">
        <x:v>23</x:v>
      </x:c>
      <x:c r="B10" s="2"/>
      <x:c r="C10" s="2"/>
      <x:c r="D10" s="3"/>
    </x:row>
    <x:row r="11">
      <x:c r="A11" s="16" t="s">
        <x:v>24</x:v>
      </x:c>
      <x:c r="B11" s="17" t="s">
        <x:v>25</x:v>
      </x:c>
      <x:c r="C11" s="23" t="s">
        <x:v>26</x:v>
      </x:c>
      <x:c r="D11" s="19" t="s">
        <x:v>27</x:v>
      </x:c>
    </x:row>
    <x:row r="12">
      <x:c r="A12" s="20" t="s">
        <x:v>28</x:v>
      </x:c>
      <x:c r="B12" s="21" t="s">
        <x:v>29</x:v>
      </x:c>
      <x:c r="C12" s="23" t="s">
        <x:v>26</x:v>
      </x:c>
      <x:c r="D12" s="22" t="s">
        <x:v>30</x:v>
      </x:c>
    </x:row>
    <x:row r="13">
      <x:c r="A13" s="16" t="s">
        <x:v>31</x:v>
      </x:c>
      <x:c r="B13" s="17" t="s">
        <x:v>32</x:v>
      </x:c>
      <x:c r="C13" s="23" t="s">
        <x:v>26</x:v>
      </x:c>
      <x:c r="D13" s="19" t="s">
        <x:v>33</x:v>
      </x:c>
    </x:row>
    <x:row r="14">
      <x:c r="A14" s="20" t="s">
        <x:v>34</x:v>
      </x:c>
      <x:c r="B14" s="21" t="s">
        <x:v>35</x:v>
      </x:c>
      <x:c r="C14" s="23" t="s">
        <x:v>26</x:v>
      </x:c>
      <x:c r="D14" s="22" t="s">
        <x:v>36</x:v>
      </x:c>
    </x:row>
    <x:row r="15">
      <x:c r="A15" s="16" t="s">
        <x:v>37</x:v>
      </x:c>
      <x:c r="B15" s="17" t="s">
        <x:v>38</x:v>
      </x:c>
      <x:c r="C15" s="23" t="s">
        <x:v>26</x:v>
      </x:c>
      <x:c r="D15" s="19" t="s">
        <x:v>39</x:v>
      </x:c>
    </x:row>
    <x:row r="16">
      <x:c r="A16" s="20" t="s">
        <x:v>40</x:v>
      </x:c>
      <x:c r="B16" s="21" t="s">
        <x:v>41</x:v>
      </x:c>
      <x:c r="C16" s="23" t="s">
        <x:v>26</x:v>
      </x:c>
      <x:c r="D16" s="22" t="s">
        <x:v>42</x:v>
      </x:c>
    </x:row>
    <x:row r="17">
      <x:c r="A17" s="16" t="s">
        <x:v>43</x:v>
      </x:c>
      <x:c r="B17" s="17" t="s">
        <x:v>44</x:v>
      </x:c>
      <x:c r="C17" s="23" t="s">
        <x:v>26</x:v>
      </x:c>
      <x:c r="D17" s="19" t="s">
        <x:v>45</x:v>
      </x:c>
    </x:row>
    <x:row r="18">
      <x:c r="A18" s="20" t="s">
        <x:v>46</x:v>
      </x:c>
      <x:c r="B18" s="21" t="s">
        <x:v>47</x:v>
      </x:c>
      <x:c r="C18" s="23" t="s">
        <x:v>26</x:v>
      </x:c>
      <x:c r="D18" s="22" t="s">
        <x:v>48</x:v>
      </x:c>
    </x:row>
    <x:row r="19">
      <x:c r="A19" s="16" t="s">
        <x:v>49</x:v>
      </x:c>
      <x:c r="B19" s="17" t="s">
        <x:v>50</x:v>
      </x:c>
      <x:c r="C19" s="23" t="s">
        <x:v>26</x:v>
      </x:c>
      <x:c r="D19" s="19" t="s">
        <x:v>51</x:v>
      </x:c>
    </x:row>
    <x:row r="20">
      <x:c r="A20" s="20" t="s">
        <x:v>52</x:v>
      </x:c>
      <x:c r="B20" s="21" t="s">
        <x:v>53</x:v>
      </x:c>
      <x:c r="C20" s="217" t="str">
        <x:v>🔄 In Progress</x:v>
      </x:c>
      <x:c r="D20" s="22" t="str">
        <x:v>CCBill replied: functioning online site needed; password protection allowed. Site/policy preparation underway.</x:v>
      </x:c>
    </x:row>
    <x:row r="21" ht="15.75" customHeight="1">
      <x:c r="A21" s="16" t="s">
        <x:v>54</x:v>
      </x:c>
      <x:c r="B21" s="17" t="s">
        <x:v>55</x:v>
      </x:c>
      <x:c r="C21" s="24" t="s">
        <x:v>21</x:v>
      </x:c>
      <x:c r="D21" s="19" t="s">
        <x:v>56</x:v>
      </x:c>
    </x:row>
    <x:row r="22" ht="15.75" customHeight="1">
      <x:c r="A22" s="20" t="s">
        <x:v>57</x:v>
      </x:c>
      <x:c r="B22" s="21" t="s">
        <x:v>58</x:v>
      </x:c>
      <x:c r="C22" s="24" t="s">
        <x:v>21</x:v>
      </x:c>
      <x:c r="D22" s="22" t="s">
        <x:v>59</x:v>
      </x:c>
    </x:row>
    <x:row r="23" ht="15.75" customHeight="1">
      <x:c r="A23" s="16" t="s">
        <x:v>60</x:v>
      </x:c>
      <x:c r="B23" s="17" t="str">
        <x:v>Decide classes (IC 009, 035, 042), timing and filing sequence for 'Pumdoki'.</x:v>
      </x:c>
      <x:c r="C23" s="23" t="s">
        <x:v>26</x:v>
      </x:c>
      <x:c r="D23" s="19" t="s">
        <x:v>61</x:v>
      </x:c>
    </x:row>
    <x:row r="24" ht="15.75" customHeight="1">
      <x:c r="A24" s="20" t="s">
        <x:v>62</x:v>
      </x:c>
      <x:c r="B24" s="21" t="s">
        <x:v>63</x:v>
      </x:c>
      <x:c r="C24" s="23" t="s">
        <x:v>26</x:v>
      </x:c>
      <x:c r="D24" s="22" t="s">
        <x:v>64</x:v>
      </x:c>
    </x:row>
    <x:row r="25" ht="15.75" customHeight="1">
      <x:c r="A25" s="16" t="s">
        <x:v>65</x:v>
      </x:c>
      <x:c r="B25" s="17" t="s">
        <x:v>66</x:v>
      </x:c>
      <x:c r="C25" s="23" t="s">
        <x:v>26</x:v>
      </x:c>
      <x:c r="D25" s="19" t="inlineStr">
        <x:is>
          <x:t xml:space="preserve">Entity not filed. Evaluate Wyoming and other privacy/no-individual-income-tax candidates with an attorney and CPA; account for foreign qualification where the founder operates.</x:t>
        </x:is>
      </x:c>
    </x:row>
    <x:row r="26" ht="15.75" customHeight="1">
      <x:c r="A26" s="20" t="s">
        <x:v>67</x:v>
      </x:c>
      <x:c r="B26" s="21" t="s">
        <x:v>68</x:v>
      </x:c>
      <x:c r="C26" s="24" t="s">
        <x:v>21</x:v>
      </x:c>
      <x:c r="D26" s="22" t="s">
        <x:v>69</x:v>
      </x:c>
    </x:row>
    <x:row r="27" ht="15.75" customHeight="1">
      <x:c r="A27" s="16" t="s">
        <x:v>70</x:v>
      </x:c>
      <x:c r="B27" s="17" t="s">
        <x:v>71</x:v>
      </x:c>
      <x:c r="C27" s="217" t="str">
        <x:v>🔄 In Progress</x:v>
      </x:c>
      <x:c r="D27" s="19" t="str">
        <x:v>Included in Suzanne Lawyer’s purchased $1,100 bundle. Draft delivery, review and approval pending.</x:v>
      </x:c>
    </x:row>
    <x:row r="28" ht="15.75" customHeight="1">
      <x:c r="A28" s="20" t="s">
        <x:v>72</x:v>
      </x:c>
      <x:c r="B28" s="21" t="s">
        <x:v>73</x:v>
      </x:c>
      <x:c r="C28" s="24" t="s">
        <x:v>21</x:v>
      </x:c>
      <x:c r="D28" s="22" t="s">
        <x:v>74</x:v>
      </x:c>
    </x:row>
    <x:row r="29" ht="15.75" customHeight="1">
      <x:c r="A29" s="16" t="s">
        <x:v>75</x:v>
      </x:c>
      <x:c r="B29" s="17" t="s">
        <x:v>76</x:v>
      </x:c>
      <x:c r="C29" s="24" t="s">
        <x:v>21</x:v>
      </x:c>
      <x:c r="D29" s="19" t="s">
        <x:v>77</x:v>
      </x:c>
    </x:row>
    <x:row r="30" ht="15.75" customHeight="1">
      <x:c r="A30" s="20" t="s">
        <x:v>78</x:v>
      </x:c>
      <x:c r="B30" s="21" t="s">
        <x:v>79</x:v>
      </x:c>
      <x:c r="C30" s="24" t="s">
        <x:v>21</x:v>
      </x:c>
      <x:c r="D30" s="22" t="s">
        <x:v>80</x:v>
      </x:c>
    </x:row>
    <x:row r="31" ht="15.75" customHeight="1">
      <x:c r="A31" s="16" t="s">
        <x:v>81</x:v>
      </x:c>
      <x:c r="B31" s="17" t="s">
        <x:v>82</x:v>
      </x:c>
      <x:c r="C31" s="24" t="s">
        <x:v>21</x:v>
      </x:c>
      <x:c r="D31" s="19" t="s">
        <x:v>83</x:v>
      </x:c>
    </x:row>
    <x:row r="32" ht="15.75" customHeight="1">
      <x:c r="A32" s="20" t="s">
        <x:v>84</x:v>
      </x:c>
      <x:c r="B32" s="21" t="s">
        <x:v>85</x:v>
      </x:c>
      <x:c r="C32" s="24" t="s">
        <x:v>21</x:v>
      </x:c>
      <x:c r="D32" s="22" t="s">
        <x:v>86</x:v>
      </x:c>
    </x:row>
    <x:row r="33" ht="15.75" customHeight="1">
      <x:c r="A33" s="16" t="s">
        <x:v>87</x:v>
      </x:c>
      <x:c r="B33" s="17" t="s">
        <x:v>88</x:v>
      </x:c>
      <x:c r="C33" s="24" t="s">
        <x:v>21</x:v>
      </x:c>
      <x:c r="D33" s="19" t="s">
        <x:v>89</x:v>
      </x:c>
    </x:row>
    <x:row r="34" ht="15.75" customHeight="1">
      <x:c r="A34" s="20" t="s">
        <x:v>90</x:v>
      </x:c>
      <x:c r="B34" s="21" t="s">
        <x:v>91</x:v>
      </x:c>
      <x:c r="C34" s="24" t="s">
        <x:v>21</x:v>
      </x:c>
      <x:c r="D34" s="22" t="s">
        <x:v>92</x:v>
      </x:c>
    </x:row>
    <x:row r="35" ht="27.75" customHeight="1">
      <x:c r="A35" s="15" t="s">
        <x:v>93</x:v>
      </x:c>
      <x:c r="B35" s="2"/>
      <x:c r="C35" s="2"/>
      <x:c r="D35" s="3"/>
    </x:row>
    <x:row r="36" ht="15.75" customHeight="1">
      <x:c r="A36" s="16" t="s">
        <x:v>94</x:v>
      </x:c>
      <x:c r="B36" s="17" t="s">
        <x:v>95</x:v>
      </x:c>
      <x:c r="C36" s="18" t="s">
        <x:v>9</x:v>
      </x:c>
      <x:c r="D36" s="19" t="s">
        <x:v>96</x:v>
      </x:c>
    </x:row>
    <x:row r="37" ht="15.75" customHeight="1">
      <x:c r="A37" s="20" t="s">
        <x:v>97</x:v>
      </x:c>
      <x:c r="B37" s="21" t="s">
        <x:v>98</x:v>
      </x:c>
      <x:c r="C37" s="23" t="s">
        <x:v>26</x:v>
      </x:c>
      <x:c r="D37" s="22" t="s">
        <x:v>99</x:v>
      </x:c>
    </x:row>
    <x:row r="38" ht="15.75" customHeight="1">
      <x:c r="A38" s="16" t="s">
        <x:v>100</x:v>
      </x:c>
      <x:c r="B38" s="17" t="s">
        <x:v>101</x:v>
      </x:c>
      <x:c r="C38" s="23" t="s">
        <x:v>26</x:v>
      </x:c>
      <x:c r="D38" s="19" t="s">
        <x:v>102</x:v>
      </x:c>
    </x:row>
    <x:row r="39" ht="15.75" customHeight="1">
      <x:c r="A39" s="20" t="s">
        <x:v>103</x:v>
      </x:c>
      <x:c r="B39" s="21" t="s">
        <x:v>104</x:v>
      </x:c>
      <x:c r="C39" s="18" t="s">
        <x:v>9</x:v>
      </x:c>
      <x:c r="D39" s="22" t="s">
        <x:v>105</x:v>
      </x:c>
    </x:row>
    <x:row r="40" ht="15.75" customHeight="1">
      <x:c r="A40" s="16" t="s">
        <x:v>106</x:v>
      </x:c>
      <x:c r="B40" s="17" t="s">
        <x:v>107</x:v>
      </x:c>
      <x:c r="C40" s="23" t="s">
        <x:v>26</x:v>
      </x:c>
      <x:c r="D40" s="19" t="s">
        <x:v>108</x:v>
      </x:c>
    </x:row>
    <x:row r="41" ht="24" hidden="0" customHeight="1">
      <x:c r="A41" s="20" t="s">
        <x:v>109</x:v>
      </x:c>
      <x:c r="B41" s="21" t="s">
        <x:v>110</x:v>
      </x:c>
      <x:c r="C41" s="23" t="s">
        <x:v>26</x:v>
      </x:c>
      <x:c r="D41" s="22" t="str">
        <x:v>Responsive work remains active. A session-aware branded 404, route-level code splitting, and an in-flow dismissible verification reminder are merged and CI-covered on desktop/mobile paths.</x:v>
      </x:c>
    </x:row>
    <x:row r="42" ht="15.75" customHeight="1">
      <x:c r="A42" s="16" t="str">
        <x:v>Implement Midnight City theme</x:v>
      </x:c>
      <x:c r="B42" s="17" t="str">
        <x:v>Second free theme alongside Sakura Kiss. Blue city rooftops with static desktop/mobile JPG backgrounds. Settings Appearance chooser stores the preference in this browser.</x:v>
      </x:c>
      <x:c r="C42" s="215" t="str">
        <x:v>✅ Done</x:v>
      </x:c>
      <x:c r="D42" s="19" t="str">
        <x:v>Published in 0f01961 (#19). Theme switch/restore and static assets are tested. Account sync remains separate future work.</x:v>
      </x:c>
    </x:row>
    <x:row r="43" ht="15.75" customHeight="1">
      <x:c r="A43" s="20" t="s">
        <x:v>111</x:v>
      </x:c>
      <x:c r="B43" s="21" t="s">
        <x:v>112</x:v>
      </x:c>
      <x:c r="C43" s="24" t="s">
        <x:v>21</x:v>
      </x:c>
      <x:c r="D43" s="22" t="s">
        <x:v>113</x:v>
      </x:c>
    </x:row>
    <x:row r="44" ht="27.75" customHeight="1">
      <x:c r="A44" s="15" t="s">
        <x:v>114</x:v>
      </x:c>
      <x:c r="B44" s="2"/>
      <x:c r="C44" s="2"/>
      <x:c r="D44" s="3"/>
    </x:row>
    <x:row r="45" ht="15.75" customHeight="1">
      <x:c r="A45" s="16" t="s">
        <x:v>115</x:v>
      </x:c>
      <x:c r="B45" s="17" t="s">
        <x:v>116</x:v>
      </x:c>
      <x:c r="C45" s="18" t="s">
        <x:v>9</x:v>
      </x:c>
      <x:c r="D45" s="19" t="s">
        <x:v>117</x:v>
      </x:c>
    </x:row>
    <x:row r="46" ht="15.75" customHeight="1">
      <x:c r="A46" s="20" t="s">
        <x:v>118</x:v>
      </x:c>
      <x:c r="B46" s="21" t="str">
        <x:v>Private safe-sample R2 bucket and API integration verified. Signed delivery, CDN caching and production storage lifecycle/recovery remain pending.</x:v>
      </x:c>
      <x:c r="C46" s="216" t="str">
        <x:v>🔄 In Progress</x:v>
      </x:c>
      <x:c r="D46" s="22" t="str">
        <x:v>Safe PNG/MP4 uploads, private reads, restart/removal and browser checks passed. Adult-business acceptance unconfirmed.</x:v>
      </x:c>
    </x:row>
    <x:row r="47" ht="24" hidden="0" customHeight="1">
      <x:c r="A47" s="16" t="s">
        <x:v>119</x:v>
      </x:c>
      <x:c r="B47" s="17" t="str">
        <x:v>Model users, creators, posts, subscriptions, plans, transactions and moderation.</x:v>
      </x:c>
      <x:c r="C47" s="24" t="str">
        <x:v>🔄 In Progress</x:v>
      </x:c>
      <x:c r="D47" s="19" t="str">
        <x:v>Local PostgreSQL/Prisma includes User, Session, append-only AcceptanceRecord, VerificationToken, UserPreference, CreatorApplication, creator-policy acceptance, and constrained successful-transition review evidence. Remaining product domains and production RDS deployment are pending.</x:v>
      </x:c>
    </x:row>
    <x:row r="48" ht="24" hidden="0" customHeight="1">
      <x:c r="A48" s="20" t="s">
        <x:v>120</x:v>
      </x:c>
      <x:c r="B48" s="21" t="s">
        <x:v>121</x:v>
      </x:c>
      <x:c r="C48" s="24" t="str">
        <x:v>🔄 In Progress</x:v>
      </x:c>
      <x:c r="D48" s="22" t="str">
        <x:v>Local validated environments plus Docker PostgreSQL/Mailpit exist. PR #3 adds non-secret staging/configuration/verification templates only; staging and production infrastructure, credentials, private origin, and live verification remain pending.</x:v>
      </x:c>
    </x:row>
    <x:row r="49" ht="24" hidden="0" customHeight="1">
      <x:c r="A49" s="16" t="s">
        <x:v>122</x:v>
      </x:c>
      <x:c r="B49" s="17" t="s">
        <x:v>123</x:v>
      </x:c>
      <x:c r="C49" s="23" t="inlineStr">
        <x:is>
          <x:t xml:space="preserve">🔄 In Progress</x:t>
        </x:is>
      </x:c>
      <x:c r="D49" s="19" t="str">
        <x:v>Implemented /api/v1 health/readiness, auth/email, /me, protected Settings/session, and member creator-application flows. The creator-review router remains deliberately unmounted and requires an operations verifier; later product domains remain pending.</x:v>
      </x:c>
    </x:row>
    <x:row r="50" ht="24" hidden="0" customHeight="1">
      <x:c r="A50" s="20" t="s">
        <x:v>124</x:v>
      </x:c>
      <x:c r="B50" s="21" t="s">
        <x:v>125</x:v>
      </x:c>
      <x:c r="C50" s="24" t="str">
        <x:v>🔄 In Progress</x:v>
      </x:c>
      <x:c r="D50" s="22" t="str">
        <x:v>Structured Pino request logging, request IDs, and secret-header redaction are implemented. PR #3 adds a provider scorecard/runbook only; monitoring integration, alerts, retention decisions, and live evidence remain pending.</x:v>
      </x:c>
    </x:row>
    <x:row r="51" ht="15" hidden="0" customHeight="1">
      <x:c r="A51" s="16" t="s">
        <x:v>126</x:v>
      </x:c>
      <x:c r="B51" s="17" t="s">
        <x:v>127</x:v>
      </x:c>
      <x:c r="C51" s="24" t="s">
        <x:v>21</x:v>
      </x:c>
      <x:c r="D51" s="19" t="s">
        <x:v>128</x:v>
      </x:c>
    </x:row>
    <x:row r="52" ht="15" hidden="0" customHeight="1">
      <x:c r="A52" s="20" t="s">
        <x:v>129</x:v>
      </x:c>
      <x:c r="B52" s="21" t="s">
        <x:v>130</x:v>
      </x:c>
      <x:c r="C52" s="24" t="str">
        <x:v>🔄 In Progress</x:v>
      </x:c>
      <x:c r="D52" s="22" t="str">
        <x:v>Global per-IP limits plus bounded in-memory login and email-request throttles are implemented. Redis-backed multi-instance protection remains pending.</x:v>
      </x:c>
    </x:row>
    <x:row r="53" ht="24" hidden="0" customHeight="1">
      <x:c r="A53" s="16" t="s">
        <x:v>131</x:v>
      </x:c>
      <x:c r="B53" s="17" t="s">
        <x:v>132</x:v>
      </x:c>
      <x:c r="C53" s="23" t="inlineStr">
        <x:is>
          <x:t xml:space="preserve">🔄 In Progress</x:t>
        </x:is>
      </x:c>
      <x:c r="D53" s="19" t="str">
        <x:v>CI runs formatting, lint, web/API tests and builds, migrations/seed, private-admin build, and real-stack Playwright with read-only token permissions and bounded timeouts. PR #1–#3 passed reviewed-head CI; deployment automation remains pending.</x:v>
      </x:c>
    </x:row>
    <x:row r="54" ht="15" hidden="0" customHeight="1">
      <x:c r="A54" s="20" t="s">
        <x:v>133</x:v>
      </x:c>
      <x:c r="B54" s="21" t="s">
        <x:v>134</x:v>
      </x:c>
      <x:c r="C54" s="24" t="s">
        <x:v>21</x:v>
      </x:c>
      <x:c r="D54" s="22" t="s">
        <x:v>135</x:v>
      </x:c>
    </x:row>
    <x:row r="55" ht="27.75" customHeight="1">
      <x:c r="A55" s="15" t="s">
        <x:v>136</x:v>
      </x:c>
      <x:c r="B55" s="2"/>
      <x:c r="C55" s="2"/>
      <x:c r="D55" s="3"/>
    </x:row>
    <x:row r="56" ht="24" hidden="0" customHeight="1">
      <x:c r="A56" s="16" t="s">
        <x:v>137</x:v>
      </x:c>
      <x:c r="B56" s="17" t="s">
        <x:v>138</x:v>
      </x:c>
      <x:c r="C56" s="24" t="str">
        <x:v>✅ Done</x:v>
      </x:c>
      <x:c r="D56" s="19" t="str">
        <x:v>Slice 3 connects registration, login, logout, and authenticated route restoration to the live API.</x:v>
      </x:c>
    </x:row>
    <x:row r="57" ht="24" hidden="0" customHeight="1">
      <x:c r="A57" s="20" t="s">
        <x:v>139</x:v>
      </x:c>
      <x:c r="B57" s="21" t="s">
        <x:v>140</x:v>
      </x:c>
      <x:c r="C57" s="24" t="str">
        <x:v>✅ Done</x:v>
      </x:c>
      <x:c r="D57" s="22" t="str">
        <x:v>MEMBER/CREATOR route gates and backend role checks are implemented. The public web app has no /admin route; an ADMIN public session is not operational authentication and cannot activate the dormant review router.</x:v>
      </x:c>
    </x:row>
    <x:row r="58" ht="24" hidden="0" customHeight="1">
      <x:c r="A58" s="16" t="s">
        <x:v>141</x:v>
      </x:c>
      <x:c r="B58" s="17" t="s">
        <x:v>142</x:v>
      </x:c>
      <x:c r="C58" s="24" t="str">
        <x:v>✅ Done</x:v>
      </x:c>
      <x:c r="D58" s="19" t="str">
        <x:v>HttpOnly-cookie sessions restore through /me, renew on a bounded sliding window, support logout/logout-all, and can now be listed and individually revoked from protected Settings. Sensitive account changes revoke other sessions.</x:v>
      </x:c>
    </x:row>
    <x:row r="59" ht="24" hidden="0" customHeight="1">
      <x:c r="A59" s="20" t="s">
        <x:v>143</x:v>
      </x:c>
      <x:c r="B59" s="21" t="s">
        <x:v>144</x:v>
      </x:c>
      <x:c r="C59" s="23" t="str">
        <x:v>🔄 In Progress</x:v>
      </x:c>
      <x:c r="D59" s="19" t="str">
        <x:v>A verified MEMBER can submit one persisted creator application; it remains PENDING with identity NOT_STARTED and no role promotion or Dashboard access. Member first-run setup, theme choice, identity/tax/banking intake, and operational approval remain pending.</x:v>
      </x:c>
    </x:row>
    <x:row r="60" ht="24" hidden="0" customHeight="1">
      <x:c r="A60" s="16" t="s">
        <x:v>145</x:v>
      </x:c>
      <x:c r="B60" s="17" t="s">
        <x:v>146</x:v>
      </x:c>
      <x:c r="C60" s="24" t="str">
        <x:v>🔄 In Progress</x:v>
      </x:c>
      <x:c r="D60" s="19" t="str">
        <x:v>Registration records append-only age attestation and versioned Terms/Privacy acceptance; verified email gates creator-application submission. Entry-gate UI and actual identity/age verification remain pending.</x:v>
      </x:c>
    </x:row>
    <x:row r="61" ht="24" hidden="0" customHeight="1">
      <x:c r="A61" s="20" t="s">
        <x:v>147</x:v>
      </x:c>
      <x:c r="B61" s="21" t="s">
        <x:v>148</x:v>
      </x:c>
      <x:c r="C61" s="24" t="s">
        <x:v>9</x:v>
      </x:c>
      <x:c r="D61" s="22" t="str">
        <x:v>Slice 3 provides verification screens and Mailpit-backed confirmation. Slice 4B adds authenticated email change, invalidates stale links, requires reverification, and preserves only the current session.</x:v>
      </x:c>
    </x:row>
    <x:row r="62" ht="24" hidden="0" customHeight="1">
      <x:c r="A62" s="16" t="s">
        <x:v>149</x:v>
      </x:c>
      <x:c r="B62" s="17" t="s">
        <x:v>150</x:v>
      </x:c>
      <x:c r="C62" s="24" t="s">
        <x:v>9</x:v>
      </x:c>
      <x:c r="D62" s="19" t="str">
        <x:v>Slice 3 provides reset request/confirmation and global revocation. Slice 4B adds current-password-confirmed password change, reset-token invalidation, and other-session revocation.</x:v>
      </x:c>
    </x:row>
    <x:row r="63" ht="27.75" customHeight="1">
      <x:c r="A63" s="15" t="s">
        <x:v>151</x:v>
      </x:c>
      <x:c r="B63" s="2"/>
      <x:c r="C63" s="2"/>
      <x:c r="D63" s="3"/>
    </x:row>
    <x:row r="64" ht="15.75" customHeight="1">
      <x:c r="A64" s="16" t="s">
        <x:v>152</x:v>
      </x:c>
      <x:c r="B64" s="17" t="s">
        <x:v>153</x:v>
      </x:c>
      <x:c r="C64" s="18" t="s">
        <x:v>9</x:v>
      </x:c>
      <x:c r="D64" s="19" t="s">
        <x:v>154</x:v>
      </x:c>
    </x:row>
    <x:row r="65" ht="15.75" customHeight="1">
      <x:c r="A65" s="20" t="s">
        <x:v>155</x:v>
      </x:c>
      <x:c r="B65" s="21" t="s">
        <x:v>156</x:v>
      </x:c>
      <x:c r="C65" s="23" t="s">
        <x:v>26</x:v>
      </x:c>
      <x:c r="D65" s="22" t="s">
        <x:v>157</x:v>
      </x:c>
    </x:row>
    <x:row r="66" ht="15.75" customHeight="1">
      <x:c r="A66" s="16" t="s">
        <x:v>158</x:v>
      </x:c>
      <x:c r="B66" s="17" t="s">
        <x:v>159</x:v>
      </x:c>
      <x:c r="C66" s="23" t="s">
        <x:v>26</x:v>
      </x:c>
      <x:c r="D66" s="19" t="s">
        <x:v>160</x:v>
      </x:c>
    </x:row>
    <x:row r="67" ht="15.75" customHeight="1">
      <x:c r="A67" s="20" t="s">
        <x:v>161</x:v>
      </x:c>
      <x:c r="B67" s="21" t="s">
        <x:v>162</x:v>
      </x:c>
      <x:c r="C67" s="18" t="s">
        <x:v>9</x:v>
      </x:c>
      <x:c r="D67" s="22" t="s">
        <x:v>163</x:v>
      </x:c>
    </x:row>
    <x:row r="68" ht="15.75" customHeight="1">
      <x:c r="A68" s="16" t="s">
        <x:v>164</x:v>
      </x:c>
      <x:c r="B68" s="17" t="s">
        <x:v>165</x:v>
      </x:c>
      <x:c r="C68" s="23" t="s">
        <x:v>26</x:v>
      </x:c>
      <x:c r="D68" s="19" t="s">
        <x:v>166</x:v>
      </x:c>
    </x:row>
    <x:row r="69" ht="24" hidden="0" customHeight="1">
      <x:c r="A69" s="20" t="s">
        <x:v>167</x:v>
      </x:c>
      <x:c r="B69" s="21" t="s">
        <x:v>168</x:v>
      </x:c>
      <x:c r="C69" s="23" t="str">
        <x:v>✅ Done</x:v>
      </x:c>
      <x:c r="D69" s="22" t="str">
        <x:v>Live validated API login/signup/logout plus forgot/reset/verify flows are published. Registration was redesigned, verification reminders no longer overlay protected content, and deep-link restoration/session-aware recovery are CI-covered.</x:v>
      </x:c>
    </x:row>
    <x:row r="70" ht="15.75" customHeight="1">
      <x:c r="A70" s="16" t="s">
        <x:v>169</x:v>
      </x:c>
      <x:c r="B70" s="17" t="s">
        <x:v>170</x:v>
      </x:c>
      <x:c r="C70" s="18" t="str">
        <x:v>✅ Done</x:v>
      </x:c>
      <x:c r="D70" s="19" t="str">
        <x:v>Heart rail + Following/For You hybrid implemented in design.</x:v>
      </x:c>
    </x:row>
    <x:row r="71" ht="15.75" customHeight="1">
      <x:c r="A71" s="20" t="s">
        <x:v>171</x:v>
      </x:c>
      <x:c r="B71" s="21" t="s">
        <x:v>172</x:v>
      </x:c>
      <x:c r="C71" s="23" t="inlineStr">
        <x:is>
          <x:t xml:space="preserve">🔄 In Progress</x:t>
        </x:is>
      </x:c>
      <x:c r="D71" s="19" t="inlineStr">
        <x:is>
          <x:t xml:space="preserve">Locked preview UI exists; backend entitlement and protected media delivery remain.</x:t>
        </x:is>
      </x:c>
    </x:row>
    <x:row r="72" ht="15.75" customHeight="1">
      <x:c r="A72" s="16" t="s">
        <x:v>173</x:v>
      </x:c>
      <x:c r="B72" s="17" t="s">
        <x:v>174</x:v>
      </x:c>
      <x:c r="C72" s="23" t="inlineStr">
        <x:is>
          <x:t xml:space="preserve">🔄 In Progress</x:t>
        </x:is>
      </x:c>
      <x:c r="D72" s="19" t="inlineStr">
        <x:is>
          <x:t xml:space="preserve">Tier visuals exist. Launch tiers will be standardized; exact rules and backend enforcement remain.</x:t>
        </x:is>
      </x:c>
    </x:row>
    <x:row r="73" ht="15.75" customHeight="1">
      <x:c r="A73" s="20" t="s">
        <x:v>175</x:v>
      </x:c>
      <x:c r="B73" s="21" t="s">
        <x:v>176</x:v>
      </x:c>
      <x:c r="C73" s="23" t="s">
        <x:v>26</x:v>
      </x:c>
      <x:c r="D73" s="19" t="inlineStr">
        <x:is>
          <x:t xml:space="preserve">Launch-critical. UI prototype exists. Target four noticeable YouTube-like medium thumbnails on common large desktops, with more columns on wider screens.</x:t>
        </x:is>
      </x:c>
    </x:row>
    <x:row r="74" ht="15.75" customHeight="1">
      <x:c r="A74" s="16" t="s">
        <x:v>177</x:v>
      </x:c>
      <x:c r="B74" s="17" t="s">
        <x:v>178</x:v>
      </x:c>
      <x:c r="C74" s="23" t="s">
        <x:v>26</x:v>
      </x:c>
      <x:c r="D74" s="22" t="str">
        <x:v>Launch-critical. UI prototype exists. Requires service configuration, availability, payment rules, cancellation, reviews and disputes.</x:v>
      </x:c>
    </x:row>
    <x:row r="75" ht="15.75" customHeight="1">
      <x:c r="A75" s="20" t="s">
        <x:v>179</x:v>
      </x:c>
      <x:c r="B75" s="17" t="inlineStr">
        <x:is>
          <x:t xml:space="preserve">Real-time direct messaging using authenticated WebSockets. Advanced group/chat features remain post-MVP.</x:t>
        </x:is>
      </x:c>
      <x:c r="C75" s="23" t="inlineStr">
        <x:is>
          <x:t xml:space="preserve">🔄 In Progress</x:t>
        </x:is>
      </x:c>
      <x:c r="D75" s="19" t="inlineStr">
        <x:is>
          <x:t xml:space="preserve">Chat UI prototype exists. Persistence, WebSocket authorization, reconnect, read state, reporting, and rate limits are pending.</x:t>
        </x:is>
      </x:c>
    </x:row>
    <x:row r="76" ht="15.75" customHeight="1">
      <x:c r="A76" s="16"/>
      <x:c r="B76" s="17"/>
      <x:c r="C76" s="23"/>
      <x:c r="D76" s="22"/>
    </x:row>
    <x:row r="77" ht="24" hidden="0" customHeight="1">
      <x:c r="A77" s="20" t="s">
        <x:v>180</x:v>
      </x:c>
      <x:c r="B77" s="17" t="inlineStr">
        <x:is>
          <x:t xml:space="preserve">User preference to hide or show explicit 18+ content across onboarding, Settings, feeds, search, Store, and Connect. Default hidden.</x:t>
        </x:is>
      </x:c>
      <x:c r="C77" s="24" t="str">
        <x:v>🔄 In Progress</x:v>
      </x:c>
      <x:c r="D77" s="19" t="str">
        <x:v>Default-hidden preference persistence and protected Settings opt-in/immediate opt-out are implemented and CI-verified. Onboarding and server-side feed/search/Store/Connect enforcement remain pending.</x:v>
      </x:c>
    </x:row>
    <x:row r="78" ht="24" hidden="0" customHeight="1">
      <x:c r="A78" s="16" t="s">
        <x:v>181</x:v>
      </x:c>
      <x:c r="B78" s="17" t="str">
        <x:v>Account info, password change, notification preferences, theme toggle (Sakura Kiss / Midnight City), NSFW content toggle, payment/billing section.</x:v>
      </x:c>
      <x:c r="C78" s="24" t="str">
        <x:v>🔄 In Progress</x:v>
      </x:c>
      <x:c r="D78" s="19" t="str">
        <x:v>Protected Settings implements display name, email/reverification, password, active sessions and explicit-content preference. Theme selection is implemented browser-locally. Account theme sync, real notifications/billing, export and deletion remain pending.</x:v>
      </x:c>
    </x:row>
    <x:row r="79" ht="15.75" customHeight="1">
      <x:c r="A79" s="20" t="s">
        <x:v>182</x:v>
      </x:c>
      <x:c r="B79" s="21" t="s">
        <x:v>183</x:v>
      </x:c>
      <x:c r="C79" s="24" t="s">
        <x:v>21</x:v>
      </x:c>
      <x:c r="D79" s="22" t="s">
        <x:v>184</x:v>
      </x:c>
    </x:row>
    <x:row r="80" ht="15.75" customHeight="1">
      <x:c r="A80" s="16" t="s">
        <x:v>185</x:v>
      </x:c>
      <x:c r="B80" s="17" t="str">
        <x:v>P08 member history: liked posts, purchases, subscriptions and payment history. UI preview first; account-backed events follow.</x:v>
      </x:c>
      <x:c r="C80" s="220" t="str">
        <x:v>🔄 In Progress</x:v>
      </x:c>
      <x:c r="D80" s="19" t="str">
        <x:v>Example-data /activity UI with search/filters and sidebar/header links. Real account API and persistence pending.</x:v>
      </x:c>
    </x:row>
    <x:row r="81" ht="15.75" customHeight="1">
      <x:c r="A81" s="20" t="s">
        <x:v>186</x:v>
      </x:c>
      <x:c r="B81" s="21" t="s">
        <x:v>187</x:v>
      </x:c>
      <x:c r="C81" s="18" t="s">
        <x:v>9</x:v>
      </x:c>
      <x:c r="D81" s="22" t="s">
        <x:v>188</x:v>
      </x:c>
    </x:row>
    <x:row r="82" ht="15.75" customHeight="1">
      <x:c r="A82" s="16" t="s">
        <x:v>189</x:v>
      </x:c>
      <x:c r="B82" s="17" t="s">
        <x:v>190</x:v>
      </x:c>
      <x:c r="C82" s="18" t="s">
        <x:v>9</x:v>
      </x:c>
      <x:c r="D82" s="19" t="s">
        <x:v>191</x:v>
      </x:c>
    </x:row>
    <x:row r="83" ht="15.75" customHeight="1">
      <x:c r="A83" s="20" t="s">
        <x:v>192</x:v>
      </x:c>
      <x:c r="B83" s="21" t="s">
        <x:v>193</x:v>
      </x:c>
      <x:c r="C83" s="18" t="s">
        <x:v>9</x:v>
      </x:c>
      <x:c r="D83" s="22" t="s">
        <x:v>194</x:v>
      </x:c>
    </x:row>
    <x:row r="84" ht="30.75" customHeight="1">
      <x:c r="A84" s="16" t="s">
        <x:v>195</x:v>
      </x:c>
      <x:c r="B84" s="17" t="s">
        <x:v>196</x:v>
      </x:c>
      <x:c r="C84" s="23" t="inlineStr">
        <x:is>
          <x:t xml:space="preserve">🔄 In Progress</x:t>
        </x:is>
      </x:c>
      <x:c r="D84" s="22" t="inlineStr">
        <x:is>
          <x:t xml:space="preserve">Large UI prototype exists. Backend data, actions, reconciliation, and tests remain. Live Streaming stays disabled post-MVP.</x:t>
        </x:is>
      </x:c>
    </x:row>
    <x:row r="85" ht="18.75" customHeight="1">
      <x:c r="A85" s="25" t="s">
        <x:v>197</x:v>
      </x:c>
      <x:c r="B85" s="26" t="s">
        <x:v>198</x:v>
      </x:c>
      <x:c r="C85" s="18" t="s">
        <x:v>9</x:v>
      </x:c>
      <x:c r="D85" s="27" t="s">
        <x:v>199</x:v>
      </x:c>
    </x:row>
    <x:row r="86" ht="15.75" customHeight="1">
      <x:c r="A86" s="15" t="s">
        <x:v>200</x:v>
      </x:c>
      <x:c r="B86" s="2"/>
      <x:c r="C86" s="2"/>
      <x:c r="D86" s="3"/>
    </x:row>
    <x:row r="87" ht="15.75" customHeight="1">
      <x:c r="A87" s="16" t="s">
        <x:v>201</x:v>
      </x:c>
      <x:c r="B87" s="17" t="s">
        <x:v>202</x:v>
      </x:c>
      <x:c r="C87" s="24" t="s">
        <x:v>21</x:v>
      </x:c>
      <x:c r="D87" s="19" t="s">
        <x:v>203</x:v>
      </x:c>
    </x:row>
    <x:row r="88" ht="15.75" customHeight="1">
      <x:c r="A88" s="20" t="s">
        <x:v>204</x:v>
      </x:c>
      <x:c r="B88" s="21" t="s">
        <x:v>205</x:v>
      </x:c>
      <x:c r="C88" s="24" t="s">
        <x:v>21</x:v>
      </x:c>
      <x:c r="D88" s="22" t="s">
        <x:v>206</x:v>
      </x:c>
    </x:row>
    <x:row r="89" ht="15.75" customHeight="1">
      <x:c r="A89" s="16" t="s">
        <x:v>207</x:v>
      </x:c>
      <x:c r="B89" s="17" t="s">
        <x:v>208</x:v>
      </x:c>
      <x:c r="C89" s="24" t="s">
        <x:v>21</x:v>
      </x:c>
      <x:c r="D89" s="19" t="s">
        <x:v>209</x:v>
      </x:c>
    </x:row>
    <x:row r="90" ht="15.75" customHeight="1">
      <x:c r="A90" s="20" t="s">
        <x:v>210</x:v>
      </x:c>
      <x:c r="B90" s="21" t="s">
        <x:v>211</x:v>
      </x:c>
      <x:c r="C90" s="24" t="s">
        <x:v>21</x:v>
      </x:c>
      <x:c r="D90" s="22" t="s">
        <x:v>212</x:v>
      </x:c>
    </x:row>
    <x:row r="91" ht="15.75" customHeight="1">
      <x:c r="A91" s="16" t="s">
        <x:v>213</x:v>
      </x:c>
      <x:c r="B91" s="17" t="s">
        <x:v>214</x:v>
      </x:c>
      <x:c r="C91" s="24" t="s">
        <x:v>21</x:v>
      </x:c>
      <x:c r="D91" s="19" t="s">
        <x:v>215</x:v>
      </x:c>
    </x:row>
    <x:row r="92" ht="27.75" customHeight="1">
      <x:c r="A92" s="28" t="s">
        <x:v>216</x:v>
      </x:c>
      <x:c r="B92" s="29" t="s">
        <x:v>217</x:v>
      </x:c>
      <x:c r="C92" s="30" t="s">
        <x:v>21</x:v>
      </x:c>
      <x:c r="D92" s="31" t="s">
        <x:v>218</x:v>
      </x:c>
    </x:row>
    <x:row r="93" ht="15.75" customHeight="1">
      <x:c r="A93" s="15" t="s">
        <x:v>219</x:v>
      </x:c>
      <x:c r="B93" s="2"/>
      <x:c r="C93" s="2"/>
      <x:c r="D93" s="3"/>
    </x:row>
    <x:row r="94" ht="15.75" customHeight="1">
      <x:c r="A94" s="32" t="s">
        <x:v>220</x:v>
      </x:c>
      <x:c r="B94" s="33" t="s">
        <x:v>221</x:v>
      </x:c>
      <x:c r="C94" s="217" t="str">
        <x:v>🔄 In Progress</x:v>
      </x:c>
      <x:c r="D94" s="22" t="str">
        <x:v>Sales replied; review site is being built. Merchant approval, API/webhooks and billing remain unimplemented.</x:v>
      </x:c>
    </x:row>
    <x:row r="95" ht="15.75" customHeight="1">
      <x:c r="A95" s="20" t="s">
        <x:v>222</x:v>
      </x:c>
      <x:c r="B95" s="21" t="s">
        <x:v>223</x:v>
      </x:c>
      <x:c r="C95" s="24" t="inlineStr">
        <x:is>
          <x:t xml:space="preserve">📋 Not Started</x:t>
        </x:is>
      </x:c>
      <x:c r="D95" s="19" t="str">
        <x:v>CCBill site prep underway. Epoch outreach, account approval and integration remain unstarted.</x:v>
      </x:c>
    </x:row>
    <x:row r="96" ht="15.75" customHeight="1">
      <x:c r="A96" s="16" t="s">
        <x:v>224</x:v>
      </x:c>
      <x:c r="B96" s="17" t="s">
        <x:v>225</x:v>
      </x:c>
      <x:c r="C96" s="24" t="s">
        <x:v>21</x:v>
      </x:c>
      <x:c r="D96" s="22" t="str">
        <x:v>CCBill site prep underway. Cascade needs written account-specific confirmation from both processors.</x:v>
      </x:c>
    </x:row>
    <x:row r="97" ht="15.75" customHeight="1">
      <x:c r="A97" s="20" t="s">
        <x:v>226</x:v>
      </x:c>
      <x:c r="B97" s="21" t="s">
        <x:v>227</x:v>
      </x:c>
      <x:c r="C97" s="24" t="s">
        <x:v>21</x:v>
      </x:c>
      <x:c r="D97" s="22" t="str">
        <x:v>CCBill site prep underway. Billing awaits agreed payment flow, processor approval and trusted payment events.</x:v>
      </x:c>
    </x:row>
    <x:row r="98" ht="15.75" customHeight="1">
      <x:c r="A98" s="16" t="s">
        <x:v>228</x:v>
      </x:c>
      <x:c r="B98" s="17" t="s">
        <x:v>229</x:v>
      </x:c>
      <x:c r="C98" s="24" t="s">
        <x:v>21</x:v>
      </x:c>
      <x:c r="D98" s="19" t="s">
        <x:v>230</x:v>
      </x:c>
    </x:row>
    <x:row r="99" ht="15.75" customHeight="1">
      <x:c r="A99" s="20" t="s">
        <x:v>231</x:v>
      </x:c>
      <x:c r="B99" s="21" t="s">
        <x:v>232</x:v>
      </x:c>
      <x:c r="C99" s="24" t="s">
        <x:v>21</x:v>
      </x:c>
      <x:c r="D99" s="22" t="s">
        <x:v>233</x:v>
      </x:c>
    </x:row>
    <x:row r="100" ht="15.75" customHeight="1">
      <x:c r="A100" s="16" t="s">
        <x:v>234</x:v>
      </x:c>
      <x:c r="B100" s="17" t="s">
        <x:v>235</x:v>
      </x:c>
      <x:c r="C100" s="24" t="s">
        <x:v>21</x:v>
      </x:c>
      <x:c r="D100" s="19" t="s">
        <x:v>236</x:v>
      </x:c>
    </x:row>
    <x:row r="101" ht="15.75" customHeight="1">
      <x:c r="A101" s="20"/>
      <x:c r="B101" s="21"/>
      <x:c r="C101" s="23"/>
      <x:c r="D101" s="19"/>
    </x:row>
    <x:row r="102" ht="15.75" customHeight="1">
      <x:c r="A102" s="16" t="s">
        <x:v>237</x:v>
      </x:c>
      <x:c r="B102" s="17" t="s">
        <x:v>238</x:v>
      </x:c>
      <x:c r="C102" s="24" t="s">
        <x:v>21</x:v>
      </x:c>
      <x:c r="D102" s="22" t="inlineStr">
        <x:is>
          <x:t xml:space="preserve">Founder decision pending. Model 20/25/30% platform fees against actual processor fees before promising a creator split.</x:t>
        </x:is>
      </x:c>
    </x:row>
    <x:row r="103" ht="15.75" customHeight="1">
      <x:c r="A103" s="20" t="s">
        <x:v>239</x:v>
      </x:c>
      <x:c r="B103" s="21" t="s">
        <x:v>240</x:v>
      </x:c>
      <x:c r="C103" s="24" t="s">
        <x:v>21</x:v>
      </x:c>
      <x:c r="D103" s="22" t="str">
        <x:v>CCBill site prep underway. Dispute workflow awaits processor rules/events and authorized operations.</x:v>
      </x:c>
    </x:row>
    <x:row r="104" ht="27.75" customHeight="1">
      <x:c r="A104" s="36" t="s">
        <x:v>241</x:v>
      </x:c>
      <x:c r="B104" s="37" t="s">
        <x:v>242</x:v>
      </x:c>
      <x:c r="C104" s="30" t="s">
        <x:v>21</x:v>
      </x:c>
      <x:c r="D104" s="38" t="s">
        <x:v>243</x:v>
      </x:c>
    </x:row>
    <x:row r="105" ht="15.75" customHeight="1">
      <x:c r="A105" s="15" t="s">
        <x:v>244</x:v>
      </x:c>
      <x:c r="B105" s="2"/>
      <x:c r="C105" s="2"/>
      <x:c r="D105" s="3"/>
    </x:row>
    <x:row r="106" ht="36" hidden="0" customHeight="1">
      <x:c r="A106" s="32" t="str">
        <x:v>Build private operations application</x:v>
      </x:c>
      <x:c r="B106" s="33" t="str">
        <x:v>Deploy a separately hosted private operations app; do not expose /admin in the public Pumdoki web app. Enforce ADMIN permissions in the API and apply separate operational access controls.</x:v>
      </x:c>
      <x:c r="C106" s="39" t="str">
        <x:v>🔄 In Progress</x:v>
      </x:c>
      <x:c r="D106" s="35" t="str">
        <x:v>An independently buildable apps/admin shell, public /admin removal, a dormant injected-verifier API seam, and a non-secret readiness packet are merged. No deployed private origin, production verifier, hardware-backed assurance, operator provisioning, origin/CSRF controls, restricted DB grants, or usable review UI exists; G1–G12 are NOT EVALUATED.</x:v>
      </x:c>
    </x:row>
    <x:row r="107" ht="15" hidden="0" customHeight="1">
      <x:c r="A107" s="20" t="s">
        <x:v>245</x:v>
      </x:c>
      <x:c r="B107" s="21" t="s">
        <x:v>246</x:v>
      </x:c>
      <x:c r="C107" s="24" t="s">
        <x:v>21</x:v>
      </x:c>
      <x:c r="D107" s="22" t="s">
        <x:v>247</x:v>
      </x:c>
    </x:row>
    <x:row r="108" ht="15" hidden="0" customHeight="1">
      <x:c r="A108" s="16" t="s">
        <x:v>248</x:v>
      </x:c>
      <x:c r="B108" s="17" t="s">
        <x:v>249</x:v>
      </x:c>
      <x:c r="C108" s="24" t="s">
        <x:v>21</x:v>
      </x:c>
      <x:c r="D108" s="19" t="s">
        <x:v>250</x:v>
      </x:c>
    </x:row>
    <x:row r="109" ht="24" hidden="0" customHeight="1">
      <x:c r="A109" s="20" t="s">
        <x:v>251</x:v>
      </x:c>
      <x:c r="B109" s="21" t="s">
        <x:v>252</x:v>
      </x:c>
      <x:c r="C109" s="24" t="str">
        <x:v>🔄 In Progress</x:v>
      </x:c>
      <x:c r="D109" s="22" t="str">
        <x:v>Application submission/persistence and dormant server-side NEEDS_INFORMATION/REJECTED transitions with successful-transition evidence are merged. No queue/list/detail UI, ID/selfie intake, APPROVED, role promotion, reviewer deployment, notification, or creator publishing exists.</x:v>
      </x:c>
    </x:row>
    <x:row r="110" ht="15.75" customHeight="1">
      <x:c r="A110" s="16" t="s">
        <x:v>253</x:v>
      </x:c>
      <x:c r="B110" s="17" t="s">
        <x:v>254</x:v>
      </x:c>
      <x:c r="C110" s="24" t="s">
        <x:v>21</x:v>
      </x:c>
      <x:c r="D110" s="19" t="s">
        <x:v>255</x:v>
      </x:c>
    </x:row>
    <x:row r="111" ht="15.75" customHeight="1">
      <x:c r="A111" s="20" t="s">
        <x:v>256</x:v>
      </x:c>
      <x:c r="B111" s="21" t="s">
        <x:v>257</x:v>
      </x:c>
      <x:c r="C111" s="24" t="s">
        <x:v>21</x:v>
      </x:c>
      <x:c r="D111" s="22" t="s">
        <x:v>258</x:v>
      </x:c>
    </x:row>
    <x:row r="112" ht="15.75" customHeight="1">
      <x:c r="A112" s="16" t="s">
        <x:v>259</x:v>
      </x:c>
      <x:c r="B112" s="17" t="s">
        <x:v>260</x:v>
      </x:c>
      <x:c r="C112" s="24" t="s">
        <x:v>21</x:v>
      </x:c>
      <x:c r="D112" s="19" t="str">
        <x:v>CCBill site prep underway. Admin view awaits payment/payout data and private-operations controls.</x:v>
      </x:c>
    </x:row>
    <x:row r="113" ht="15.75" customHeight="1">
      <x:c r="A113" s="20" t="s">
        <x:v>261</x:v>
      </x:c>
      <x:c r="B113" s="21" t="str">
        <x:v>View verified processor chargeback events, calculate rates, apply confirmed account-specific alert thresholds and log authorized dispute responses.</x:v>
      </x:c>
      <x:c r="C113" s="24" t="s">
        <x:v>21</x:v>
      </x:c>
      <x:c r="D113" s="22" t="str">
        <x:v>CCBill site prep underway. Dashboard awaits verified dispute events and account-specific alert thresholds.</x:v>
      </x:c>
    </x:row>
    <x:row r="114" ht="15.75" customHeight="1">
      <x:c r="A114" s="16"/>
      <x:c r="B114" s="17"/>
      <x:c r="C114" s="24"/>
      <x:c r="D114" s="19"/>
    </x:row>
    <x:row r="115" ht="15.75" customHeight="1">
      <x:c r="A115" s="20" t="s">
        <x:v>262</x:v>
      </x:c>
      <x:c r="B115" s="21" t="s">
        <x:v>263</x:v>
      </x:c>
      <x:c r="C115" s="24" t="s">
        <x:v>21</x:v>
      </x:c>
      <x:c r="D115" s="22" t="s">
        <x:v>264</x:v>
      </x:c>
    </x:row>
    <x:row r="116" ht="15.75" customHeight="1">
      <x:c r="A116" s="16" t="s">
        <x:v>265</x:v>
      </x:c>
      <x:c r="B116" s="17" t="s">
        <x:v>266</x:v>
      </x:c>
      <x:c r="C116" s="24" t="s">
        <x:v>21</x:v>
      </x:c>
      <x:c r="D116" s="19" t="s">
        <x:v>267</x:v>
      </x:c>
    </x:row>
    <x:row r="117" ht="15.75" customHeight="1">
      <x:c r="A117" s="20" t="s">
        <x:v>268</x:v>
      </x:c>
      <x:c r="B117" s="21" t="s">
        <x:v>269</x:v>
      </x:c>
      <x:c r="C117" s="24" t="s">
        <x:v>21</x:v>
      </x:c>
      <x:c r="D117" s="22" t="s">
        <x:v>270</x:v>
      </x:c>
    </x:row>
    <x:row r="118" ht="24" hidden="0" customHeight="1">
      <x:c r="A118" s="36" t="s">
        <x:v>271</x:v>
      </x:c>
      <x:c r="B118" s="37" t="s">
        <x:v>272</x:v>
      </x:c>
      <x:c r="C118" s="30" t="s">
        <x:v>21</x:v>
      </x:c>
      <x:c r="D118" s="38" t="str">
        <x:v>The merged creator-review event records successful non-approval transitions at application level, but it is not a complete immutable operations audit. The global audit log, restricted audit destination, retention, and operational evidence controls remain unimplemented.</x:v>
      </x:c>
    </x:row>
    <x:row r="119" ht="15.75" customHeight="1">
      <x:c r="A119" s="15" t="s">
        <x:v>273</x:v>
      </x:c>
      <x:c r="B119" s="2"/>
      <x:c r="C119" s="2"/>
      <x:c r="D119" s="3"/>
    </x:row>
    <x:row r="120" ht="15.75" customHeight="1">
      <x:c r="A120" s="32" t="s">
        <x:v>274</x:v>
      </x:c>
      <x:c r="B120" s="33" t="s">
        <x:v>275</x:v>
      </x:c>
      <x:c r="C120" s="39" t="s">
        <x:v>21</x:v>
      </x:c>
      <x:c r="D120" s="35" t="s">
        <x:v>22</x:v>
      </x:c>
    </x:row>
    <x:row r="121" ht="15.75" customHeight="1">
      <x:c r="A121" s="20" t="s">
        <x:v>276</x:v>
      </x:c>
      <x:c r="B121" s="21" t="s">
        <x:v>277</x:v>
      </x:c>
      <x:c r="C121" s="24" t="s">
        <x:v>21</x:v>
      </x:c>
      <x:c r="D121" s="22" t="s">
        <x:v>278</x:v>
      </x:c>
    </x:row>
    <x:row r="122" ht="15.75" customHeight="1">
      <x:c r="A122" s="16" t="s">
        <x:v>279</x:v>
      </x:c>
      <x:c r="B122" s="17" t="s">
        <x:v>280</x:v>
      </x:c>
      <x:c r="C122" s="24" t="s">
        <x:v>21</x:v>
      </x:c>
      <x:c r="D122" s="19" t="s">
        <x:v>281</x:v>
      </x:c>
    </x:row>
    <x:row r="123" ht="15.75" customHeight="1">
      <x:c r="A123" s="20" t="s">
        <x:v>282</x:v>
      </x:c>
      <x:c r="B123" s="21" t="s">
        <x:v>283</x:v>
      </x:c>
      <x:c r="C123" s="24" t="s">
        <x:v>21</x:v>
      </x:c>
      <x:c r="D123" s="22" t="s">
        <x:v>284</x:v>
      </x:c>
    </x:row>
    <x:row r="124" ht="24" hidden="0" customHeight="1">
      <x:c r="A124" s="36" t="s">
        <x:v>285</x:v>
      </x:c>
      <x:c r="B124" s="37" t="s">
        <x:v>286</x:v>
      </x:c>
      <x:c r="C124" s="30" t="str">
        <x:v>🔄 In Progress</x:v>
      </x:c>
      <x:c r="D124" s="22" t="str">
        <x:v>Provider-neutral console/SMTP delivery, local Mailpit, and verification/password-reset messages are implemented. Production provider selection, adult-business fit, deliverability/authentication, billing/moderation/booking mail, and platform notifications remain open.</x:v>
      </x:c>
    </x:row>
    <x:row r="125" ht="15.75" customHeight="1">
      <x:c r="A125" s="15" t="s">
        <x:v>287</x:v>
      </x:c>
      <x:c r="B125" s="2"/>
      <x:c r="C125" s="2"/>
      <x:c r="D125" s="3"/>
    </x:row>
    <x:row r="126" ht="15.75" customHeight="1">
      <x:c r="A126" s="32" t="s">
        <x:v>288</x:v>
      </x:c>
      <x:c r="B126" s="33" t="s">
        <x:v>289</x:v>
      </x:c>
      <x:c r="C126" s="39" t="s">
        <x:v>21</x:v>
      </x:c>
      <x:c r="D126" s="35" t="s">
        <x:v>290</x:v>
      </x:c>
    </x:row>
    <x:row r="127" ht="15.75" customHeight="1">
      <x:c r="A127" s="20" t="s">
        <x:v>291</x:v>
      </x:c>
      <x:c r="B127" s="21" t="s">
        <x:v>292</x:v>
      </x:c>
      <x:c r="C127" s="24" t="s">
        <x:v>21</x:v>
      </x:c>
      <x:c r="D127" s="22" t="s">
        <x:v>293</x:v>
      </x:c>
    </x:row>
    <x:row r="128" ht="15.75" customHeight="1">
      <x:c r="A128" s="16" t="s">
        <x:v>294</x:v>
      </x:c>
      <x:c r="B128" s="17" t="s">
        <x:v>295</x:v>
      </x:c>
      <x:c r="C128" s="24" t="s">
        <x:v>21</x:v>
      </x:c>
      <x:c r="D128" s="19" t="s">
        <x:v>296</x:v>
      </x:c>
    </x:row>
    <x:row r="129" ht="15.75" customHeight="1">
      <x:c r="A129" s="20" t="s">
        <x:v>297</x:v>
      </x:c>
      <x:c r="B129" s="21" t="s">
        <x:v>298</x:v>
      </x:c>
      <x:c r="C129" s="24" t="s">
        <x:v>21</x:v>
      </x:c>
      <x:c r="D129" s="22" t="s">
        <x:v>299</x:v>
      </x:c>
    </x:row>
    <x:row r="130" ht="15.75" customHeight="1">
      <x:c r="A130" s="16" t="s">
        <x:v>300</x:v>
      </x:c>
      <x:c r="B130" s="17" t="s">
        <x:v>301</x:v>
      </x:c>
      <x:c r="C130" s="24" t="s">
        <x:v>21</x:v>
      </x:c>
      <x:c r="D130" s="19" t="s">
        <x:v>302</x:v>
      </x:c>
    </x:row>
    <x:row r="131" ht="15" customHeight="1">
      <x:c r="A131" s="20" t="s">
        <x:v>303</x:v>
      </x:c>
      <x:c r="B131" s="21" t="s">
        <x:v>304</x:v>
      </x:c>
      <x:c r="C131" s="24" t="s">
        <x:v>21</x:v>
      </x:c>
      <x:c r="D131" s="22" t="s">
        <x:v>305</x:v>
      </x:c>
    </x:row>
    <x:row r="132" ht="15.75" customHeight="1">
      <x:c r="A132" s="40" t="s">
        <x:v>306</x:v>
      </x:c>
      <x:c r="B132" s="41" t="s">
        <x:v>307</x:v>
      </x:c>
      <x:c r="C132" s="42" t="s">
        <x:v>26</x:v>
      </x:c>
      <x:c r="D132" s="43" t="s">
        <x:v>302</x:v>
      </x:c>
    </x:row>
    <x:row r="133" ht="15.75" customHeight="1">
      <x:c r="A133" s="15" t="s">
        <x:v>308</x:v>
      </x:c>
      <x:c r="B133" s="2"/>
      <x:c r="C133" s="2"/>
      <x:c r="D133" s="3"/>
    </x:row>
    <x:row r="134" ht="24" hidden="0" customHeight="1">
      <x:c r="A134" s="32" t="s">
        <x:v>309</x:v>
      </x:c>
      <x:c r="B134" s="33" t="s">
        <x:v>310</x:v>
      </x:c>
      <x:c r="C134" s="44" t="s">
        <x:v>26</x:v>
      </x:c>
      <x:c r="D134" s="35" t="str">
        <x:v>Repository checks and real-stack browser coverage are established, including merged routing, auth, Settings, and creator-application flows. The broader product, beta, payment, moderation, and launch QA checklist remains incomplete.</x:v>
      </x:c>
    </x:row>
    <x:row r="135" ht="15.75" customHeight="1">
      <x:c r="A135" s="20" t="s">
        <x:v>311</x:v>
      </x:c>
      <x:c r="B135" s="21" t="s">
        <x:v>312</x:v>
      </x:c>
      <x:c r="C135" s="24" t="s">
        <x:v>21</x:v>
      </x:c>
      <x:c r="D135" s="22" t="s">
        <x:v>313</x:v>
      </x:c>
    </x:row>
    <x:row r="136" ht="15.75" customHeight="1">
      <x:c r="A136" s="16" t="s">
        <x:v>314</x:v>
      </x:c>
      <x:c r="B136" s="17" t="s">
        <x:v>315</x:v>
      </x:c>
      <x:c r="C136" s="24" t="s">
        <x:v>21</x:v>
      </x:c>
      <x:c r="D136" s="19" t="s">
        <x:v>316</x:v>
      </x:c>
    </x:row>
    <x:row r="137" ht="15.75" customHeight="1">
      <x:c r="A137" s="20" t="s">
        <x:v>317</x:v>
      </x:c>
      <x:c r="B137" s="21" t="s">
        <x:v>318</x:v>
      </x:c>
      <x:c r="C137" s="24" t="s">
        <x:v>21</x:v>
      </x:c>
      <x:c r="D137" s="22" t="s">
        <x:v>302</x:v>
      </x:c>
    </x:row>
    <x:row r="138" ht="15.75" customHeight="1">
      <x:c r="A138" s="16" t="s">
        <x:v>319</x:v>
      </x:c>
      <x:c r="B138" s="17" t="s">
        <x:v>320</x:v>
      </x:c>
      <x:c r="C138" s="24" t="s">
        <x:v>21</x:v>
      </x:c>
      <x:c r="D138" s="19" t="str">
        <x:v>CCBill site prep underway. Testing awaits implemented processor flows; cascade only if confirmed.</x:v>
      </x:c>
    </x:row>
    <x:row r="139" ht="15.75" customHeight="1">
      <x:c r="A139" s="20" t="s">
        <x:v>321</x:v>
      </x:c>
      <x:c r="B139" s="21" t="s">
        <x:v>322</x:v>
      </x:c>
      <x:c r="C139" s="24" t="s">
        <x:v>21</x:v>
      </x:c>
      <x:c r="D139" s="22" t="s">
        <x:v>323</x:v>
      </x:c>
    </x:row>
    <x:row r="140" ht="15.75" customHeight="1">
      <x:c r="A140" s="16" t="s">
        <x:v>324</x:v>
      </x:c>
      <x:c r="B140" s="17" t="s">
        <x:v>325</x:v>
      </x:c>
      <x:c r="C140" s="24" t="s">
        <x:v>21</x:v>
      </x:c>
      <x:c r="D140" s="19" t="s">
        <x:v>326</x:v>
      </x:c>
    </x:row>
    <x:row r="141" ht="15.75" customHeight="1">
      <x:c r="A141" s="20" t="s">
        <x:v>327</x:v>
      </x:c>
      <x:c r="B141" s="21" t="s">
        <x:v>328</x:v>
      </x:c>
      <x:c r="C141" s="24" t="s">
        <x:v>21</x:v>
      </x:c>
      <x:c r="D141" s="22" t="s">
        <x:v>329</x:v>
      </x:c>
    </x:row>
    <x:row r="142" ht="27.75" customHeight="1">
      <x:c r="A142" s="15" t="inlineStr">
        <x:is>
          <x:t xml:space="preserve">🧭  PHASE 13 — June 2026 Scope &amp; Architecture Decisions</x:t>
        </x:is>
      </x:c>
      <x:c r="B142" s="2"/>
      <x:c r="C142" s="2"/>
      <x:c r="D142" s="3"/>
    </x:row>
    <x:row r="143" ht="31.5" customHeight="1">
      <x:c r="A143" s="16"/>
      <x:c r="B143" s="17"/>
      <x:c r="C143" s="24"/>
      <x:c r="D143" s="19"/>
    </x:row>
    <x:row r="144" ht="31.5" customHeight="1">
      <x:c r="A144" s="20"/>
      <x:c r="B144" s="21"/>
      <x:c r="C144" s="23"/>
      <x:c r="D144" s="22"/>
    </x:row>
    <x:row r="145" ht="31.5" customHeight="1">
      <x:c r="A145" s="16" t="inlineStr">
        <x:is>
          <x:t xml:space="preserve">Implement tipping / Send Love</x:t>
        </x:is>
      </x:c>
      <x:c r="B145" s="17" t="str">
        <x:v>Allow members to tip creators with idempotent payment evidence and creator pending earnings. Payment method remains unresolved.</x:v>
      </x:c>
      <x:c r="C145" s="24" t="inlineStr">
        <x:is>
          <x:t xml:space="preserve">📋 Not Started</x:t>
        </x:is>
      </x:c>
      <x:c r="D145" s="19" t="inlineStr">
        <x:is>
          <x:t xml:space="preserve">Moved from backlog into MVP launch scope.</x:t>
        </x:is>
      </x:c>
    </x:row>
    <x:row r="146" ht="31.5" customHeight="1">
      <x:c r="A146" s="20" t="inlineStr">
        <x:is>
          <x:t xml:space="preserve">Implement PPV purchases</x:t>
        </x:is>
      </x:c>
      <x:c r="B146" s="21" t="str">
        <x:v>Allow members to unlock individual creator content with durable entitlement records. Payment method remains unresolved.</x:v>
      </x:c>
      <x:c r="C146" s="24" t="inlineStr">
        <x:is>
          <x:t xml:space="preserve">📋 Not Started</x:t>
        </x:is>
      </x:c>
      <x:c r="D146" s="22" t="inlineStr">
        <x:is>
          <x:t xml:space="preserve">Moved from backlog into MVP launch scope.</x:t>
        </x:is>
      </x:c>
    </x:row>
    <x:row r="147" ht="31.5" customHeight="1">
      <x:c r="A147" s="16" t="inlineStr">
        <x:is>
          <x:t xml:space="preserve">Implement real-time WebSocket messaging</x:t>
        </x:is>
      </x:c>
      <x:c r="B147" s="17" t="inlineStr">
        <x:is>
          <x:t xml:space="preserve">Authenticated direct messages with persistence, reconnect, read states, presence, rate limits, block, and report.</x:t>
        </x:is>
      </x:c>
      <x:c r="C147" s="24" t="inlineStr">
        <x:is>
          <x:t xml:space="preserve">📋 Not Started</x:t>
        </x:is>
      </x:c>
      <x:c r="D147" s="19" t="inlineStr">
        <x:is>
          <x:t xml:space="preserve">Basic real-time DMs are launch scope; advanced group/chat features remain post-MVP.</x:t>
        </x:is>
      </x:c>
    </x:row>
    <x:row r="148" ht="31.5" customHeight="1">
      <x:c r="A148" s="20" t="inlineStr">
        <x:is>
          <x:t xml:space="preserve">Complete Store for launch</x:t>
        </x:is>
      </x:c>
      <x:c r="B148" s="21" t="inlineStr">
        <x:is>
          <x:t xml:space="preserve">Connect Store tabs, search, purchase, history, favorites, liked content, filters, and responsive four-card desktop presentation to real data.</x:t>
        </x:is>
      </x:c>
      <x:c r="C148" s="23" t="inlineStr">
        <x:is>
          <x:t xml:space="preserve">🔄 In Progress</x:t>
        </x:is>
      </x:c>
      <x:c r="D148" s="22" t="inlineStr">
        <x:is>
          <x:t xml:space="preserve">UI prototype exists; backend and payment integration remain.</x:t>
        </x:is>
      </x:c>
    </x:row>
    <x:row r="149" ht="31.5" customHeight="1">
      <x:c r="A149" s="16" t="inlineStr">
        <x:is>
          <x:t xml:space="preserve">Complete Connect for launch</x:t>
        </x:is>
      </x:c>
      <x:c r="B149" s="17" t="str">
        <x:v>Implement service setup, schedules, time zones, payment rules, confirmations, cancellations, disputes and reviews.</x:v>
      </x:c>
      <x:c r="C149" s="23" t="inlineStr">
        <x:is>
          <x:t xml:space="preserve">🔄 In Progress</x:t>
        </x:is>
      </x:c>
      <x:c r="D149" s="19" t="inlineStr">
        <x:is>
          <x:t xml:space="preserve">UI prototype exists; full booking lifecycle remains.</x:t>
        </x:is>
      </x:c>
    </x:row>
    <x:row r="150" ht="31.5" customHeight="1">
      <x:c r="A150" s="20" t="inlineStr">
        <x:is>
          <x:t xml:space="preserve">Complete Oasis / Drimy for launch</x:t>
        </x:is>
      </x:c>
      <x:c r="B150" s="21" t="inlineStr">
        <x:is>
          <x:t xml:space="preserve">Create server-authoritative Drimy ownership, XP, Orbs, tasks, evolution, inventory, achievements, and daily resets.</x:t>
        </x:is>
      </x:c>
      <x:c r="C150" s="23" t="inlineStr">
        <x:is>
          <x:t xml:space="preserve">🔄 In Progress</x:t>
        </x:is>
      </x:c>
      <x:c r="D150" s="22" t="inlineStr">
        <x:is>
          <x:t xml:space="preserve">Moved from post-MVP into launch scope; current page is client-only mock logic.</x:t>
        </x:is>
      </x:c>
    </x:row>
    <x:row r="151" ht="31.5" customHeight="1">
      <x:c r="A151" s="16" t="inlineStr">
        <x:is>
          <x:t xml:space="preserve">Build Oasis collectibles and cosmetics</x:t>
        </x:is>
      </x:c>
      <x:c r="B151" s="17" t="inlineStr">
        <x:is>
          <x:t xml:space="preserve">Create collectible backgrounds, skins, frames, badges, equipped states, fixed-price store items, and reward inventory.</x:t>
        </x:is>
      </x:c>
      <x:c r="C151" s="24" t="inlineStr">
        <x:is>
          <x:t xml:space="preserve">📋 Not Started</x:t>
        </x:is>
      </x:c>
      <x:c r="D151" s="19" t="inlineStr">
        <x:is>
          <x:t xml:space="preserve">Primary objective is daily retention. Paid randomized rewards require separate review.</x:t>
        </x:is>
      </x:c>
    </x:row>
    <x:row r="152" ht="24" hidden="0" customHeight="1">
      <x:c r="A152" s="20" t="inlineStr">
        <x:is>
          <x:t xml:space="preserve">Implement explicit-content preference</x:t>
        </x:is>
      </x:c>
      <x:c r="B152" s="21" t="inlineStr">
        <x:is>
          <x:t xml:space="preserve">Add hide/show 18+ content choice to onboarding, Settings, feed, search, Store, and Connect; default hidden.</x:t>
        </x:is>
      </x:c>
      <x:c r="C152" s="24" t="str">
        <x:v>🔄 In Progress</x:v>
      </x:c>
      <x:c r="D152" s="22" t="str">
        <x:v>Default-hidden preference persistence and protected Settings opt-in/immediate opt-out are implemented and CI-verified. Onboarding and server-side feed/search/Store/Connect enforcement remain pending.</x:v>
      </x:c>
    </x:row>
    <x:row r="153" ht="15" hidden="0" customHeight="1">
      <x:c r="A153" s="16" t="inlineStr">
        <x:is>
          <x:t xml:space="preserve">Define international launch allowlist</x:t>
        </x:is>
      </x:c>
      <x:c r="B153" s="17" t="inlineStr">
        <x:is>
          <x:t xml:space="preserve">Enable countries only after payment, payout, identity, adult-content law, privacy, tax, sanctions, and support review.</x:t>
        </x:is>
      </x:c>
      <x:c r="C153" s="24" t="inlineStr">
        <x:is>
          <x:t xml:space="preserve">📋 Not Started</x:t>
        </x:is>
      </x:c>
      <x:c r="D153" s="19" t="inlineStr">
        <x:is>
          <x:t xml:space="preserve">Prioritize USA and selected Latin American countries; phase EU/EEA carefully.</x:t>
        </x:is>
      </x:c>
    </x:row>
    <x:row r="154" ht="15" hidden="0" customHeight="1">
      <x:c r="A154" s="20" t="inlineStr">
        <x:is>
          <x:t xml:space="preserve">Support Latin American creator onboarding</x:t>
        </x:is>
      </x:c>
      <x:c r="B154" s="21" t="inlineStr">
        <x:is>
          <x:t xml:space="preserve">Plan Spanish localization, local IDs, tax residency, payout support, time zones, and region-appropriate assistance.</x:t>
        </x:is>
      </x:c>
      <x:c r="C154" s="24" t="inlineStr">
        <x:is>
          <x:t xml:space="preserve">📋 Not Started</x:t>
        </x:is>
      </x:c>
      <x:c r="D154" s="22" t="inlineStr">
        <x:is>
          <x:t xml:space="preserve">Core creator acquisition requirement.</x:t>
        </x:is>
      </x:c>
    </x:row>
    <x:row r="155" ht="15" hidden="0" customHeight="1">
      <x:c r="A155" s="16" t="inlineStr">
        <x:is>
          <x:t xml:space="preserve">Select identity verification approach</x:t>
        </x:is>
      </x:c>
      <x:c r="B155" s="17" t="inlineStr">
        <x:is>
          <x:t xml:space="preserve">Compare specialist providers and a tightly controlled manual-beta workflow; design for later provider migration.</x:t>
        </x:is>
      </x:c>
      <x:c r="C155" s="24" t="inlineStr">
        <x:is>
          <x:t xml:space="preserve">📋 Not Started</x:t>
        </x:is>
      </x:c>
      <x:c r="D155" s="19" t="inlineStr">
        <x:is>
          <x:t xml:space="preserve">Manual review requires encrypted isolated storage, strict access, and audit logs.</x:t>
        </x:is>
      </x:c>
    </x:row>
    <x:row r="156" ht="15" hidden="0" customHeight="1">
      <x:c r="A156" s="20" t="inlineStr">
        <x:is>
          <x:t xml:space="preserve">Define initial media upload limits</x:t>
        </x:is>
      </x:c>
      <x:c r="B156" s="21" t="inlineStr">
        <x:is>
          <x:t xml:space="preserve">Start with cost-conscious limits and direct R2 uploads; measure beta storage/transcoding cost before raising limits.</x:t>
        </x:is>
      </x:c>
      <x:c r="C156" s="24" t="inlineStr">
        <x:is>
          <x:t xml:space="preserve">📋 Not Started</x:t>
        </x:is>
      </x:c>
      <x:c r="D156" s="22" t="inlineStr">
        <x:is>
          <x:t xml:space="preserve">Provisional: images 20 MB, video 1 GB/30 min, audio 250 MB, ID files 10 MB.</x:t>
        </x:is>
      </x:c>
    </x:row>
    <x:row r="157" ht="24" hidden="0" customHeight="1">
      <x:c r="A157" s="16" t="inlineStr">
        <x:is>
          <x:t xml:space="preserve">Select transactional email provider</x:t>
        </x:is>
      </x:c>
      <x:c r="B157" s="17" t="inlineStr">
        <x:is>
          <x:t xml:space="preserve">Evaluate Amazon SES first, verify adult-business support, and implement verification, reset, billing, moderation, and booking mail.</x:t>
        </x:is>
      </x:c>
      <x:c r="C157" s="24" t="inlineStr">
        <x:is>
          <x:t xml:space="preserve">📋 Not Started</x:t>
        </x:is>
      </x:c>
      <x:c r="D157" s="19" t="str">
        <x:v>Provider-neutral SMTP/console abstraction and local Mailpit are implemented. Production provider selection, adult-business support, deliverability, TLS, DKIM, SPF, and DMARC remain open.</x:v>
      </x:c>
    </x:row>
    <x:row r="158" ht="15" hidden="0" customHeight="1">
      <x:c r="A158" s="20" t="inlineStr">
        <x:is>
          <x:t xml:space="preserve">Choose LLC state and privacy structure</x:t>
        </x:is>
      </x:c>
      <x:c r="B158" s="21" t="inlineStr">
        <x:is>
          <x:t xml:space="preserve">Compare Wyoming and other candidates with an adult-platform attorney and CPA; include registered agent, taxes, and foreign qualification.</x:t>
        </x:is>
      </x:c>
      <x:c r="C158" s="24" t="inlineStr">
        <x:is>
          <x:t xml:space="preserve">📋 Not Started</x:t>
        </x:is>
      </x:c>
      <x:c r="D158" s="22" t="inlineStr">
        <x:is>
          <x:t xml:space="preserve">No entity filed. A no-income-tax state does not by itself remove taxes or disclosure duties elsewhere.</x:t>
        </x:is>
      </x:c>
    </x:row>
    <x:row r="159" ht="15" hidden="0" customHeight="1">
      <x:c r="A159" s="16" t="inlineStr">
        <x:is>
          <x:t xml:space="preserve">Decide commission and payout model</x:t>
        </x:is>
      </x:c>
      <x:c r="B159" s="17" t="inlineStr">
        <x:is>
          <x:t xml:space="preserve">Model processor fees, chargebacks, refunds, taxes, platform fee, Founding Creator discount, payout cadence, and minimum.</x:t>
        </x:is>
      </x:c>
      <x:c r="C159" s="24" t="inlineStr">
        <x:is>
          <x:t xml:space="preserve">📋 Not Started</x:t>
        </x:is>
      </x:c>
      <x:c r="D159" s="19" t="inlineStr">
        <x:is>
          <x:t xml:space="preserve">Do not publish the current 80/20 mock copy until actual processor economics are known.</x:t>
        </x:is>
      </x:c>
    </x:row>
    <x:row r="160" ht="36" hidden="0" customHeight="1">
      <x:c r="A160" s="20" t="str">
        <x:v>Define private operations architecture</x:v>
      </x:c>
      <x:c r="B160" s="21" t="str">
        <x:v>Build a separately deployed private operations application with API-enforced ADMIN permissions, stronger access controls, sensitive-record permissions, and immutable audit logging.</x:v>
      </x:c>
      <x:c r="C160" s="23" t="inlineStr">
        <x:is>
          <x:t xml:space="preserve">🔄 In Progress</x:t>
        </x:is>
      </x:c>
      <x:c r="D160" s="22" t="str">
        <x:v>A separate apps/admin shell, dormant injected-verifier review seam, and merged non-secret G1–G12 readiness packet exist. The router is unmounted; production authentication, restricted hosting, phishing-resistant hardware-backed assurance, operator provisioning, origin/CSRF controls, trusted-proxy handling, restricted DB grants, immutable audit, and deployment are absent; all gates are NOT EVALUATED.</x:v>
      </x:c>
    </x:row>
    <x:row r="161" ht="24" hidden="0" customHeight="1">
      <x:c r="A161" s="16" t="inlineStr">
        <x:is>
          <x:t xml:space="preserve">Adopt TypeScript backend and shared contracts</x:t>
        </x:is>
      </x:c>
      <x:c r="B161" s="17" t="inlineStr">
        <x:is>
          <x:t xml:space="preserve">Keep the current web prototype in JavaScript initially; write new API/database/contracts in TypeScript and migrate frontend gradually.</x:t>
        </x:is>
      </x:c>
      <x:c r="C161" s="23" t="inlineStr">
        <x:is>
          <x:t xml:space="preserve">🔄 In Progress</x:t>
        </x:is>
      </x:c>
      <x:c r="D161" s="19" t="str">
        <x:v>TypeScript API/contracts/database foundations now cover auth, protected Settings, creator applications, and the dormant review seam; frontend conversion remains incremental.</x:v>
      </x:c>
    </x:row>
    <x:row r="162" ht="15" hidden="0" customHeight="1">
      <x:c r="A162" s="20" t="inlineStr">
        <x:is>
          <x:t xml:space="preserve">Replace prototype contact addresses</x:t>
        </x:is>
      </x:c>
      <x:c r="B162" s="21" t="inlineStr">
        <x:is>
          <x:t xml:space="preserve">Replace unconfigured production-looking emails with .example sample addresses until real domains and mailboxes are operational.</x:t>
        </x:is>
      </x:c>
      <x:c r="C162" s="24" t="inlineStr">
        <x:is>
          <x:t xml:space="preserve">📋 Not Started</x:t>
        </x:is>
      </x:c>
      <x:c r="D162" s="22" t="inlineStr">
        <x:is>
          <x:t xml:space="preserve">Legal and support UI must not imply nonexistent operations.</x:t>
        </x:is>
      </x:c>
    </x:row>
    <x:row r="163" ht="24" hidden="0" customHeight="1">
      <x:c r="A163" s="16" t="inlineStr">
        <x:is>
          <x:t xml:space="preserve">Prepare public-member / controlled-creator beta</x:t>
        </x:is>
      </x:c>
      <x:c r="B163" s="17" t="inlineStr">
        <x:is>
          <x:t xml:space="preserve">Allow public member registration when safe while onboarding creators through verification and approval controls.</x:t>
        </x:is>
      </x:c>
      <x:c r="C163" s="23" t="inlineStr">
        <x:is>
          <x:t xml:space="preserve">🔄 In Progress</x:t>
        </x:is>
      </x:c>
      <x:c r="D163" s="19" t="str">
        <x:v>Public member registration exists, while creator applications remain PENDING and identity NOT_STARTED. No approval, role promotion, identity/tax/banking intake, deployed reviewer workflow, or creator publishing gate exists; controlled beta readiness remains incomplete.</x:v>
      </x:c>
    </x:row>
    <x:row r="164" ht="31.5" customHeight="1">
      <x:c r="A164" s="20" t="inlineStr">
        <x:is>
          <x:t xml:space="preserve">Confirm CCBill → Epoch cascade</x:t>
        </x:is>
      </x:c>
      <x:c r="B164" s="21" t="inlineStr">
        <x:is>
          <x:t xml:space="preserve">Obtain written technical and commercial confirmation before implementing fallback payment routing.</x:t>
        </x:is>
      </x:c>
      <x:c r="C164" s="24" t="inlineStr">
        <x:is>
          <x:t xml:space="preserve">📋 Not Started</x:t>
        </x:is>
      </x:c>
      <x:c r="D164" s="22" t="str">
        <x:v>CCBill Sales replied; site prep underway. Written cascade confirmation and Epoch outreach remain pending.</x:v>
      </x:c>
    </x:row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63:D63"/>
    <x:mergeCell ref="A86:D86"/>
    <x:mergeCell ref="A93:D93"/>
    <x:mergeCell ref="A105:D105"/>
    <x:mergeCell ref="A119:D119"/>
    <x:mergeCell ref="A125:D125"/>
    <x:mergeCell ref="A133:D133"/>
    <x:mergeCell ref="A1:D1"/>
    <x:mergeCell ref="A2:D2"/>
    <x:mergeCell ref="A4:D4"/>
    <x:mergeCell ref="A10:D10"/>
    <x:mergeCell ref="A35:D35"/>
    <x:mergeCell ref="A44:D44"/>
    <x:mergeCell ref="A55:D55"/>
    <x:mergeCell ref="A142:D1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49.13999938964844" customWidth="1"/>
    <x:col min="2" max="2" width="16" customWidth="1"/>
    <x:col min="3" max="3" width="52" customWidth="1"/>
    <x:col min="4" max="4" width="12" customWidth="1"/>
    <x:col min="5" max="5" width="18" customWidth="1"/>
    <x:col min="6" max="6" width="52" customWidth="1"/>
    <x:col min="7" max="26" width="8.710000038146973" customWidth="1"/>
  </x:cols>
  <x:sheetData>
    <x:row r="1" ht="25.5" customHeight="1">
      <x:c r="A1" s="14" t="s">
        <x:v>330</x:v>
      </x:c>
      <x:c r="B1" s="14" t="s">
        <x:v>331</x:v>
      </x:c>
      <x:c r="C1" s="14" t="s">
        <x:v>332</x:v>
      </x:c>
      <x:c r="D1" s="14" t="s">
        <x:v>333</x:v>
      </x:c>
      <x:c r="E1" s="14" t="s">
        <x:v>4</x:v>
      </x:c>
      <x:c r="F1" s="14" t="s">
        <x:v>334</x:v>
      </x:c>
    </x:row>
    <x:row r="2">
      <x:c r="A2" s="20" t="s">
        <x:v>335</x:v>
      </x:c>
      <x:c r="B2" s="21" t="s">
        <x:v>336</x:v>
      </x:c>
      <x:c r="C2" s="21" t="s">
        <x:v>337</x:v>
      </x:c>
      <x:c r="D2" s="21" t="s">
        <x:v>338</x:v>
      </x:c>
      <x:c r="E2" s="24" t="s">
        <x:v>21</x:v>
      </x:c>
      <x:c r="F2" s="21" t="s">
        <x:v>339</x:v>
      </x:c>
    </x:row>
    <x:row r="3">
      <x:c r="A3" s="16" t="s">
        <x:v>340</x:v>
      </x:c>
      <x:c r="B3" s="17" t="s">
        <x:v>336</x:v>
      </x:c>
      <x:c r="C3" s="21" t="inlineStr">
        <x:is>
          <x:t xml:space="preserve">Advanced group chat, rich collaboration, and higher-complexity messaging remain later; basic authenticated WebSocket DMs moved to MVP.</x:t>
        </x:is>
      </x:c>
      <x:c r="D3" s="17" t="s">
        <x:v>338</x:v>
      </x:c>
      <x:c r="E3" s="24" t="s">
        <x:v>21</x:v>
      </x:c>
      <x:c r="F3" s="21" t="inlineStr">
        <x:is>
          <x:t xml:space="preserve">MVP includes real-time direct messages only. Advanced chat remains deferred.</x:t>
        </x:is>
      </x:c>
    </x:row>
    <x:row r="4">
      <x:c r="A4" s="20" t="s">
        <x:v>341</x:v>
      </x:c>
      <x:c r="B4" s="21" t="s">
        <x:v>342</x:v>
      </x:c>
      <x:c r="C4" s="21" t="inlineStr">
        <x:is>
          <x:t xml:space="preserve">Moved into the launch MVP by founder decision on June 21, 2026.</x:t>
        </x:is>
      </x:c>
      <x:c r="D4" s="21" t="inlineStr">
        <x:is>
          <x:t xml:space="preserve">Critical</x:t>
        </x:is>
      </x:c>
      <x:c r="E4" s="48" t="inlineStr">
        <x:is>
          <x:t xml:space="preserve">➡️ Moved to MVP</x:t>
        </x:is>
      </x:c>
      <x:c r="F4" s="21" t="inlineStr">
        <x:is>
          <x:t xml:space="preserve">Tracked in Master Tracker: Implement tipping / Send Love.</x:t>
        </x:is>
      </x:c>
    </x:row>
    <x:row r="5">
      <x:c r="A5" s="16" t="s">
        <x:v>343</x:v>
      </x:c>
      <x:c r="B5" s="17" t="s">
        <x:v>342</x:v>
      </x:c>
      <x:c r="C5" s="17" t="inlineStr">
        <x:is>
          <x:t xml:space="preserve">Moved into the launch MVP by founder decision on June 21, 2026.</x:t>
        </x:is>
      </x:c>
      <x:c r="D5" s="17" t="inlineStr">
        <x:is>
          <x:t xml:space="preserve">Critical</x:t>
        </x:is>
      </x:c>
      <x:c r="E5" s="48" t="inlineStr">
        <x:is>
          <x:t xml:space="preserve">➡️ Moved to MVP</x:t>
        </x:is>
      </x:c>
      <x:c r="F5" s="17" t="inlineStr">
        <x:is>
          <x:t xml:space="preserve">Tracked in Master Tracker: Implement PPV purchases.</x:t>
        </x:is>
      </x:c>
    </x:row>
    <x:row r="6">
      <x:c r="A6" s="20" t="s">
        <x:v>344</x:v>
      </x:c>
      <x:c r="B6" s="21" t="s">
        <x:v>345</x:v>
      </x:c>
      <x:c r="C6" s="21" t="s">
        <x:v>346</x:v>
      </x:c>
      <x:c r="D6" s="21" t="s">
        <x:v>338</x:v>
      </x:c>
      <x:c r="E6" s="24" t="s">
        <x:v>21</x:v>
      </x:c>
      <x:c r="F6" s="21" t="s">
        <x:v>339</x:v>
      </x:c>
    </x:row>
    <x:row r="7">
      <x:c r="A7" s="16" t="s">
        <x:v>347</x:v>
      </x:c>
      <x:c r="B7" s="17" t="s">
        <x:v>348</x:v>
      </x:c>
      <x:c r="C7" s="17" t="s">
        <x:v>349</x:v>
      </x:c>
      <x:c r="D7" s="17" t="s">
        <x:v>350</x:v>
      </x:c>
      <x:c r="E7" s="24" t="s">
        <x:v>21</x:v>
      </x:c>
      <x:c r="F7" s="17" t="s">
        <x:v>339</x:v>
      </x:c>
    </x:row>
    <x:row r="8">
      <x:c r="A8" s="20" t="str">
        <x:v>Multiple themes (beyond Sakura Kiss &amp; Midnight City)</x:v>
      </x:c>
      <x:c r="B8" s="21" t="s">
        <x:v>351</x:v>
      </x:c>
      <x:c r="C8" s="21" t="s">
        <x:v>352</x:v>
      </x:c>
      <x:c r="D8" s="21" t="s">
        <x:v>350</x:v>
      </x:c>
      <x:c r="E8" s="24" t="s">
        <x:v>21</x:v>
      </x:c>
      <x:c r="F8" s="21" t="s">
        <x:v>353</x:v>
      </x:c>
    </x:row>
    <x:row r="9">
      <x:c r="A9" s="16" t="s">
        <x:v>354</x:v>
      </x:c>
      <x:c r="B9" s="17" t="s">
        <x:v>336</x:v>
      </x:c>
      <x:c r="C9" s="17" t="inlineStr">
        <x:is>
          <x:t xml:space="preserve">Moved into the launch MVP by founder decision on June 21, 2026.</x:t>
        </x:is>
      </x:c>
      <x:c r="D9" s="17" t="inlineStr">
        <x:is>
          <x:t xml:space="preserve">Critical</x:t>
        </x:is>
      </x:c>
      <x:c r="E9" s="48" t="inlineStr">
        <x:is>
          <x:t xml:space="preserve">➡️ Moved to MVP</x:t>
        </x:is>
      </x:c>
      <x:c r="F9" s="17" t="inlineStr">
        <x:is>
          <x:t xml:space="preserve">Oasis/Drimy is now launch scope for daily retention, collectibles, backgrounds, and skins.</x:t>
        </x:is>
      </x:c>
    </x:row>
    <x:row r="10">
      <x:c r="A10" s="20" t="s">
        <x:v>355</x:v>
      </x:c>
      <x:c r="B10" s="21" t="s">
        <x:v>342</x:v>
      </x:c>
      <x:c r="C10" s="21" t="s">
        <x:v>356</x:v>
      </x:c>
      <x:c r="D10" s="21" t="s">
        <x:v>338</x:v>
      </x:c>
      <x:c r="E10" s="24" t="s">
        <x:v>21</x:v>
      </x:c>
      <x:c r="F10" s="21" t="s">
        <x:v>357</x:v>
      </x:c>
    </x:row>
    <x:row r="11">
      <x:c r="A11" s="16" t="s">
        <x:v>358</x:v>
      </x:c>
      <x:c r="B11" s="17" t="s">
        <x:v>342</x:v>
      </x:c>
      <x:c r="C11" s="17" t="s">
        <x:v>359</x:v>
      </x:c>
      <x:c r="D11" s="17" t="s">
        <x:v>338</x:v>
      </x:c>
      <x:c r="E11" s="24" t="s">
        <x:v>21</x:v>
      </x:c>
      <x:c r="F11" s="17" t="s">
        <x:v>360</x:v>
      </x:c>
    </x:row>
    <x:row r="12">
      <x:c r="A12" s="20" t="s">
        <x:v>361</x:v>
      </x:c>
      <x:c r="B12" s="21" t="s">
        <x:v>362</x:v>
      </x:c>
      <x:c r="C12" s="21" t="s">
        <x:v>363</x:v>
      </x:c>
      <x:c r="D12" s="21" t="s">
        <x:v>338</x:v>
      </x:c>
      <x:c r="E12" s="24" t="s">
        <x:v>21</x:v>
      </x:c>
      <x:c r="F12" s="21" t="s">
        <x:v>364</x:v>
      </x:c>
    </x:row>
    <x:row r="13">
      <x:c r="A13" s="16" t="s">
        <x:v>365</x:v>
      </x:c>
      <x:c r="B13" s="17" t="s">
        <x:v>366</x:v>
      </x:c>
      <x:c r="C13" s="17" t="s">
        <x:v>367</x:v>
      </x:c>
      <x:c r="D13" s="17" t="s">
        <x:v>368</x:v>
      </x:c>
      <x:c r="E13" s="24" t="s">
        <x:v>21</x:v>
      </x:c>
      <x:c r="F13" s="17" t="s">
        <x:v>369</x:v>
      </x:c>
    </x:row>
    <x:row r="14">
      <x:c r="A14" s="20"/>
      <x:c r="B14" s="21"/>
      <x:c r="C14" s="21"/>
      <x:c r="D14" s="21"/>
      <x:c r="E14" s="24"/>
      <x:c r="F14" s="21"/>
    </x:row>
    <x:row r="15">
      <x:c r="A15" s="45" t="s">
        <x:v>370</x:v>
      </x:c>
      <x:c r="B15" s="46" t="s">
        <x:v>371</x:v>
      </x:c>
      <x:c r="C15" s="47" t="s">
        <x:v>372</x:v>
      </x:c>
      <x:c r="D15" s="46" t="s">
        <x:v>338</x:v>
      </x:c>
      <x:c r="E15" s="48" t="s">
        <x:v>21</x:v>
      </x:c>
      <x:c r="F15" s="47" t="s">
        <x:v>373</x:v>
      </x:c>
    </x:row>
    <x:row r="16">
      <x:c r="A16" s="49" t="s">
        <x:v>374</x:v>
      </x:c>
      <x:c r="B16" s="50" t="s">
        <x:v>375</x:v>
      </x:c>
      <x:c r="C16" s="51" t="s">
        <x:v>376</x:v>
      </x:c>
      <x:c r="D16" s="50" t="s">
        <x:v>350</x:v>
      </x:c>
      <x:c r="E16" s="48" t="s">
        <x:v>21</x:v>
      </x:c>
      <x:c r="F16" s="51" t="s">
        <x:v>377</x:v>
      </x:c>
    </x:row>
    <x:row r="17">
      <x:c r="A17" s="52" t="s">
        <x:v>378</x:v>
      </x:c>
      <x:c r="B17" s="53" t="s">
        <x:v>351</x:v>
      </x:c>
      <x:c r="C17" s="54" t="s">
        <x:v>379</x:v>
      </x:c>
      <x:c r="D17" s="53" t="s">
        <x:v>350</x:v>
      </x:c>
      <x:c r="E17" s="48" t="s">
        <x:v>21</x:v>
      </x:c>
      <x:c r="F17" s="54" t="s">
        <x:v>380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21" customWidth="1"/>
    <x:col min="2" max="2" width="110" customWidth="1"/>
    <x:col min="3" max="26" width="8.710000038146973" customWidth="1"/>
  </x:cols>
  <x:sheetData>
    <x:row r="1" ht="42" customHeight="1">
      <x:c r="A1" s="1" t="s">
        <x:v>381</x:v>
      </x:c>
      <x:c r="B1" s="3"/>
    </x:row>
    <x:row r="3">
      <x:c r="A3" s="14" t="s">
        <x:v>382</x:v>
      </x:c>
      <x:c r="B3" s="14" t="s">
        <x:v>383</x:v>
      </x:c>
    </x:row>
    <x:row r="4" ht="15" hidden="0" customHeight="1">
      <x:c r="A4" s="55" t="s">
        <x:v>384</x:v>
      </x:c>
      <x:c r="B4" s="58" t="str">
        <x:v>This workbook is reconciled with the repository, founder decisions, and merged PR #1–#3 baseline through August 16, 2026.</x:v>
      </x:c>
    </x:row>
    <x:row r="5">
      <x:c r="A5" s="57" t="s">
        <x:v>385</x:v>
      </x:c>
      <x:c r="B5" s="58" t="s">
        <x:v>386</x:v>
      </x:c>
    </x:row>
    <x:row r="6">
      <x:c r="A6" s="55" t="s">
        <x:v>387</x:v>
      </x:c>
      <x:c r="B6" s="56" t="s">
        <x:v>388</x:v>
      </x:c>
    </x:row>
    <x:row r="7">
      <x:c r="A7" s="57" t="s">
        <x:v>389</x:v>
      </x:c>
      <x:c r="B7" s="58" t="s">
        <x:v>390</x:v>
      </x:c>
    </x:row>
    <x:row r="8">
      <x:c r="A8" s="55" t="s">
        <x:v>391</x:v>
      </x:c>
      <x:c r="B8" s="56" t="s">
        <x:v>392</x:v>
      </x:c>
    </x:row>
    <x:row r="9">
      <x:c r="A9" s="57" t="s">
        <x:v>393</x:v>
      </x:c>
      <x:c r="B9" s="58" t="s">
        <x:v>394</x:v>
      </x:c>
    </x:row>
    <x:row r="10">
      <x:c r="A10" s="55" t="s">
        <x:v>395</x:v>
      </x:c>
      <x:c r="B10" s="56" t="s">
        <x:v>396</x:v>
      </x:c>
    </x:row>
    <x:row r="11">
      <x:c r="A11" s="57" t="s">
        <x:v>397</x:v>
      </x:c>
      <x:c r="B11" s="58" t="s">
        <x:v>398</x:v>
      </x:c>
    </x:row>
    <x:row r="12">
      <x:c r="A12" s="55" t="s">
        <x:v>399</x:v>
      </x:c>
      <x:c r="B12" s="56" t="s">
        <x:v>400</x:v>
      </x:c>
    </x:row>
    <x:row r="13">
      <x:c r="A13" s="57" t="s">
        <x:v>401</x:v>
      </x:c>
      <x:c r="B13" s="58" t="str">
        <x:v>Phase 6 expanded — added: NSFW toggle, Settings, Help/Support, Activity, modal/drawer/chat fixes, creator dashboard.</x:v>
      </x:c>
    </x:row>
    <x:row r="14">
      <x:c r="A14" s="55" t="s">
        <x:v>402</x:v>
      </x:c>
      <x:c r="B14" s="56" t="str">
        <x:v>Midnight City is implemented as the second free default theme alongside Sakura Kiss, with browser-local selection.</x:v>
      </x:c>
    </x:row>
    <x:row r="15">
      <x:c r="A15" s="57" t="s">
        <x:v>403</x:v>
      </x:c>
      <x:c r="B15" s="58" t="s">
        <x:v>404</x:v>
      </x:c>
    </x:row>
    <x:row r="17">
      <x:c r="A17" s="5" t="s">
        <x:v>405</x:v>
      </x:c>
    </x:row>
    <x:row r="18">
      <x:c r="A18" s="59" t="s">
        <x:v>406</x:v>
      </x:c>
      <x:c r="B18" s="60" t="s">
        <x:v>407</x:v>
      </x:c>
    </x:row>
    <x:row r="19">
      <x:c r="A19" s="59" t="s">
        <x:v>406</x:v>
      </x:c>
      <x:c r="B19" s="60" t="s">
        <x:v>408</x:v>
      </x:c>
    </x:row>
    <x:row r="20">
      <x:c r="A20" s="59" t="s">
        <x:v>406</x:v>
      </x:c>
      <x:c r="B20" s="60" t="s">
        <x:v>409</x:v>
      </x:c>
    </x:row>
    <x:row r="21" ht="15.75" customHeight="1">
      <x:c r="A21" s="59" t="s">
        <x:v>406</x:v>
      </x:c>
      <x:c r="B21" s="60" t="s">
        <x:v>410</x:v>
      </x:c>
    </x:row>
    <x:row r="22" ht="15.75" customHeight="1">
      <x:c r="A22" s="59" t="s">
        <x:v>406</x:v>
      </x:c>
      <x:c r="B22" s="60" t="s">
        <x:v>411</x:v>
      </x:c>
    </x:row>
    <x:row r="23" ht="15.75" customHeight="1">
      <x:c r="A23" s="59"/>
      <x:c r="B23" s="60"/>
    </x:row>
    <x:row r="24" ht="15.75" customHeight="1">
      <x:c r="A24" s="59" t="s">
        <x:v>406</x:v>
      </x:c>
      <x:c r="B24" s="60" t="s">
        <x:v>412</x:v>
      </x:c>
    </x:row>
    <x:row r="25" ht="15.75" customHeight="1">
      <x:c r="A25" s="59" t="s">
        <x:v>406</x:v>
      </x:c>
      <x:c r="B25" s="60" t="s">
        <x:v>413</x:v>
      </x:c>
    </x:row>
    <x:row r="26" ht="15.75" customHeight="1">
      <x:c r="A26" s="59" t="s">
        <x:v>406</x:v>
      </x:c>
      <x:c r="B26" s="60" t="str">
        <x:v>CCBill is the intended primary processor. Sales has replied; merchant/model approval and technical integration remain pending.</x:v>
      </x:c>
    </x:row>
    <x:row r="27" ht="15.75" customHeight="1">
      <x:c r="A27" s="59" t="s">
        <x:v>406</x:v>
      </x:c>
      <x:c r="B27" s="60" t="str">
        <x:v>Epoch is the intended fallback. Outreach and account-specific cascade confirmation remain pending; no routing is implemented.</x:v>
      </x:c>
    </x:row>
    <x:row r="28" ht="15.75" customHeight="1">
      <x:c r="A28" s="59" t="s">
        <x:v>406</x:v>
      </x:c>
      <x:c r="B28" s="60" t="s">
        <x:v>414</x:v>
      </x:c>
    </x:row>
    <x:row r="29" ht="15.75" customHeight="1">
      <x:c r="A29" s="59" t="s">
        <x:v>406</x:v>
      </x:c>
      <x:c r="B29" s="60" t="s">
        <x:v>415</x:v>
      </x:c>
    </x:row>
    <x:row r="30" ht="15.75" customHeight="1">
      <x:c r="A30" s="59" t="s">
        <x:v>406</x:v>
      </x:c>
      <x:c r="B30" s="60" t="s">
        <x:v>416</x:v>
      </x:c>
    </x:row>
    <x:row r="31" ht="39.599998474121094" hidden="0" customHeight="1">
      <x:c r="A31" s="59" t="s">
        <x:v>406</x:v>
      </x:c>
      <x:c r="B31" s="60" t="str">
        <x:v>Admin operations: separate apps/admin shell; no public /admin. Public ADMIN sessions are insufficient for operations access. The dormant review router stays unmounted until signed operations identity, exact provisioning, phishing-resistant hardware-backed assurance, private-origin/CSRF, trusted-proxy, restricted DB-role, audit, and recovery gates pass.</x:v>
      </x:c>
    </x:row>
    <x:row r="32" ht="15.75" customHeight="1">
      <x:c r="A32" s="59" t="s">
        <x:v>406</x:v>
      </x:c>
      <x:c r="B32" s="60" t="str">
        <x:v>Midnight City: blue city rooftops, static desktop/mobile JPGs. Browser-local Settings selection implemented; account sync pending.</x:v>
      </x:c>
    </x:row>
    <x:row r="33" ht="15.75" customHeight="1">
      <x:c r="A33" s="59" t="s">
        <x:v>406</x:v>
      </x:c>
      <x:c r="B33" s="60" t="s">
        <x:v>417</x:v>
      </x:c>
    </x:row>
    <x:row r="34" ht="15.75" customHeight="1">
      <x:c r="A34" s="59" t="s">
        <x:v>406</x:v>
      </x:c>
      <x:c r="B34" s="60" t="s">
        <x:v>418</x:v>
      </x:c>
    </x:row>
    <x:row r="35" ht="15.75" customHeight="1">
      <x:c r="A35" s="59" t="s">
        <x:v>406</x:v>
      </x:c>
      <x:c r="B35" s="60" t="s">
        <x:v>419</x:v>
      </x:c>
    </x:row>
    <x:row r="36" ht="15.75" customHeight="1">
      <x:c r="A36" s="59" t="s">
        <x:v>406</x:v>
      </x:c>
      <x:c r="B36" s="60" t="s">
        <x:v>420</x:v>
      </x:c>
    </x:row>
    <x:row r="37" ht="15.75" customHeight="1">
      <x:c r="A37" s="59" t="s">
        <x:v>406</x:v>
      </x:c>
      <x:c r="B37" s="60" t="s">
        <x:v>421</x:v>
      </x:c>
    </x:row>
    <x:row r="38" ht="15.75" customHeight="1">
      <x:c r="A38" s="59" t="s">
        <x:v>406</x:v>
      </x:c>
      <x:c r="B38" s="60" t="s">
        <x:v>422</x:v>
      </x:c>
    </x:row>
    <x:row r="39" ht="15.75" customHeight="1">
      <x:c r="A39" s="59" t="s">
        <x:v>406</x:v>
      </x:c>
      <x:c r="B39" s="60" t="s">
        <x:v>423</x:v>
      </x:c>
    </x:row>
    <x:row r="40" ht="15.75" customHeight="1">
      <x:c r="A40" s="59" t="s">
        <x:v>406</x:v>
      </x:c>
      <x:c r="B40" s="60" t="s">
        <x:v>424</x:v>
      </x:c>
    </x:row>
    <x:row r="41" ht="15.75" customHeight="1">
      <x:c r="A41" s="59" t="s">
        <x:v>406</x:v>
      </x:c>
      <x:c r="B41" s="60" t="inlineStr">
        <x:is>
          <x:t xml:space="preserve">Oasis / Drimys is now launch scope. It targets daily retention through XP, Orbs, evolution, tasks, backgrounds, skins, frames, badges, and collectibles.</x:t>
        </x:is>
      </x:c>
    </x:row>
    <x:row r="42" ht="15.75" customHeight="1"/>
    <x:row r="43" ht="15" hidden="0" customHeight="1">
      <x:c r="A43" s="61" t="inlineStr">
        <x:is>
          <x:t xml:space="preserve">🚀 Current Delivery Plan</x:t>
        </x:is>
      </x:c>
    </x:row>
    <x:row r="44" ht="26.399999618530273" hidden="0" customHeight="1">
      <x:c r="A44" s="71" t="inlineStr">
        <x:is>
          <x:t xml:space="preserve">Plan source</x:t>
        </x:is>
      </x:c>
      <x:c r="B44" s="71" t="str">
        <x:v>PLAN.md remains the architecture source of truth. PR #1 merged Phase 4 creator-application persistence plus the dormant non-approval review foundation; PR #2 merged routing hardening; PR #3 merged non-secret operations-readiness documentation.</x:v>
      </x:c>
    </x:row>
    <x:row r="45" ht="26.399999618530273" hidden="0" customHeight="1">
      <x:c r="A45" s="72" t="inlineStr">
        <x:is>
          <x:t xml:space="preserve">Immediate 1</x:t>
        </x:is>
      </x:c>
      <x:c r="B45" s="73" t="str">
        <x:v>PR #1 (e7352c8), PR #2 (1189404), and PR #3 (80efce5) are merged into dev after green reviewed-head CI. The public API still does not mount the creator-review router, and the readiness packet is planning—not live-control evidence.</x:v>
      </x:c>
    </x:row>
    <x:row r="46" ht="26.399999618530273" hidden="0" customHeight="1">
      <x:c r="A46" s="72" t="inlineStr">
        <x:is>
          <x:t xml:space="preserve">Immediate 2</x:t>
        </x:is>
      </x:c>
      <x:c r="B46" s="73" t="str">
        <x:v>Keep Phase 2 labeled partially complete: staging, backup/restore drills, monitoring/alerts, shared Redis throttling, queue/idempotency architecture, and production email decisions remain open.</x:v>
      </x:c>
    </x:row>
    <x:row r="47" ht="39.599998474121094" hidden="0" customHeight="1">
      <x:c r="A47" s="72" t="inlineStr">
        <x:is>
          <x:t xml:space="preserve">Immediate 3</x:t>
        </x:is>
      </x:c>
      <x:c r="B47" s="73" t="str">
        <x:v>Before any private-operations activation, implement and evaluate G1–G12: signed operations identity, exact operator provisioning, phishing-resistant hardware-backed assurance, private origin plus mutation CSRF/origin validation, trusted-proxy handling, restricted database roles, audit destination, recovery, and abuse tests.</x:v>
      </x:c>
    </x:row>
    <x:row r="48" ht="26.399999618530273" hidden="0" customHeight="1">
      <x:c r="A48" s="72" t="inlineStr">
        <x:is>
          <x:t xml:space="preserve">Immediate 4</x:t>
        </x:is>
      </x:c>
      <x:c r="B48" s="73" t="str">
        <x:v>Obtain counsel/CPA guidance and concrete identity-provider, country-allowlist, retention, CCBill/Epoch, tax, payout, and operational-mailbox inputs before irreversible compliance or payment workflows.</x:v>
      </x:c>
    </x:row>
    <x:row r="49" ht="26.399999618530273" hidden="0" customHeight="1">
      <x:c r="A49" s="72" t="inlineStr">
        <x:is>
          <x:t xml:space="preserve">Immediate 5</x:t>
        </x:is>
      </x:c>
      <x:c r="B49" s="73" t="str">
        <x:v>Keep APPROVED, creator-role promotion, identity files, tax/banking intake, payment/ledger effects, creator publishing, staging deployment, and production activation disabled until their legal, provider, security, and operational gates are concrete.</x:v>
      </x:c>
    </x:row>
    <x:row r="50" ht="15" hidden="0" customHeight="1">
      <x:c r="A50" s="64"/>
      <x:c r="B50" s="64"/>
    </x:row>
    <x:row r="51" ht="15" hidden="0" customHeight="1">
      <x:c r="A51" s="65"/>
      <x:c r="B51" s="66"/>
    </x:row>
    <x:row r="52" ht="15" hidden="0" customHeight="1">
      <x:c r="A52" s="65" t="str">
        <x:v>✅ July 7, 2026 — Confirmed Founder Decisions</x:v>
      </x:c>
      <x:c r="B52" s="66"/>
    </x:row>
    <x:row r="53" ht="15" hidden="0" customHeight="1">
      <x:c r="A53" s="74" t="str">
        <x:v>•</x:v>
      </x:c>
      <x:c r="B53" s="79" t="str">
        <x:v>Phase 3 starts on the local stack while Phase 2 remains explicitly partially complete.</x:v>
      </x:c>
    </x:row>
    <x:row r="54" ht="15" hidden="0" customHeight="1">
      <x:c r="A54" s="74" t="str">
        <x:v>•</x:v>
      </x:c>
      <x:c r="B54" s="79" t="str">
        <x:v>First beta uses email/password only; Google OAuth is not beta scope.</x:v>
      </x:c>
    </x:row>
    <x:row r="55" ht="15" hidden="0" customHeight="1">
      <x:c r="A55" s="74" t="str">
        <x:v>•</x:v>
      </x:c>
      <x:c r="B55" s="79" t="str">
        <x:v>Phase 3 is decomposed into four slices: core auth backend, email flows, frontend integration, and Settings.</x:v>
      </x:c>
    </x:row>
    <x:row r="56" ht="15" hidden="0" customHeight="1">
      <x:c r="A56" s="74" t="str">
        <x:v>•</x:v>
      </x:c>
      <x:c r="B56" s="80" t="str">
        <x:v>Sessions use opaque tokens with 30-day sliding expiry, renewed at most once per day.</x:v>
      </x:c>
    </x:row>
    <x:row r="57" ht="26.399999618530273" hidden="0" customHeight="1">
      <x:c r="A57" s="81" t="str">
        <x:v>•</x:v>
      </x:c>
      <x:c r="B57" s="79" t="str">
        <x:v>Acceptance records are append-only with restrictive deletion; future account deletion must follow counsel-approved retention and pseudonymization rules.</x:v>
      </x:c>
    </x:row>
    <x:row r="58" ht="15" hidden="0" customHeight="1">
      <x:c r="A58" s="74" t="str">
        <x:v>•</x:v>
      </x:c>
      <x:c r="B58" s="79" t="str">
        <x:v>Slice 3 connects the frontend to live auth APIs, including persistent cookie sessions, verification, password reset, role guards, and logout.</x:v>
      </x:c>
    </x:row>
    <x:row r="59" ht="15" hidden="0" customHeight="1">
      <x:c r="A59" s="74" t="str">
        <x:v>•</x:v>
      </x:c>
      <x:c r="B59" s="79" t="str">
        <x:v>Core-auth implementation uses Argon2id and transparently upgrades the development scrypt seed format after a successful login.</x:v>
      </x:c>
    </x:row>
    <x:row r="60" ht="26.399999618530273" hidden="0" customHeight="1">
      <x:c r="A60" s="74" t="str">
        <x:v>•</x:v>
      </x:c>
      <x:c r="B60" s="79" t="str">
        <x:v>Email verification, password reset, frontend auth integration, protected Settings, and explicit-content preference persistence are published and CI-verified. OAuth, a production email provider, and Redis-backed throttling remain later work.</x:v>
      </x:c>
    </x:row>
    <x:row r="61" ht="15" hidden="0" customHeight="1">
      <x:c r="A61" s="65"/>
      <x:c r="B61" s="66"/>
    </x:row>
    <x:row r="62" ht="15" hidden="0" customHeight="1">
      <x:c r="A62" s="65" t="str">
        <x:v>✅ July 28, 2026 — Phase 3 Slice 2 Verification</x:v>
      </x:c>
      <x:c r="B62" s="66"/>
    </x:row>
    <x:row r="63" ht="15" hidden="0" customHeight="1">
      <x:c r="A63" s="64" t="str">
        <x:v>•</x:v>
      </x:c>
      <x:c r="B63" s="67" t="str">
        <x:v>Provider-neutral SMTP/console mail, local Mailpit, verification and reset templates, and validated mail environment variables are implemented.</x:v>
      </x:c>
    </x:row>
    <x:row r="64" ht="15" hidden="0" customHeight="1">
      <x:c r="A64" t="str">
        <x:v>•</x:v>
      </x:c>
      <x:c r="B64" s="66" t="str">
        <x:v>Verification and reset tokens are random, hashed at rest, expiring, single-use, and invalidated on reissue; password reset revokes all sessions.</x:v>
      </x:c>
    </x:row>
    <x:row r="65" ht="39.599998474121094" hidden="0" customHeight="1">
      <x:c r="A65" t="str">
        <x:v>•</x:v>
      </x:c>
      <x:c r="B65" s="82" t="str">
        <x:v>Phase 3 Slice 4B publishes the founder-approved core account-security scope: display-name edit, email change/reverification, authenticated password change, and active-session listing/revocation. Notifications wait for Phase 9; billing for payments; export/deletion for counsel-approved retention; theme for design-system work; explicit-content query enforcement for Phase 5 APIs.</x:v>
      </x:c>
    </x:row>
    <x:row r="66" ht="15.75" customHeight="1">
      <x:c r="A66" s="61" t="inlineStr">
        <x:is>
          <x:t xml:space="preserve">✅ June 21, 2026 — Confirmed Founder Decisions</x:t>
        </x:is>
      </x:c>
    </x:row>
    <x:row r="67" ht="28.5" customHeight="1">
      <x:c r="A67" s="65" t="inlineStr">
        <x:is>
          <x:t xml:space="preserve">•</x:t>
        </x:is>
      </x:c>
      <x:c r="B67" s="66" t="inlineStr">
        <x:is>
          <x:t xml:space="preserve">Oasis/Drimy must be functional at launch.</x:t>
        </x:is>
      </x:c>
    </x:row>
    <x:row r="68" ht="28.5" customHeight="1">
      <x:c r="A68" s="65" t="inlineStr">
        <x:is>
          <x:t xml:space="preserve">•</x:t>
        </x:is>
      </x:c>
      <x:c r="B68" s="66" t="inlineStr">
        <x:is>
          <x:t xml:space="preserve">Store and Connect are launch-critical.</x:t>
        </x:is>
      </x:c>
    </x:row>
    <x:row r="69" ht="28.5" customHeight="1">
      <x:c r="A69" s="65" t="inlineStr">
        <x:is>
          <x:t xml:space="preserve">•</x:t>
        </x:is>
      </x:c>
      <x:c r="B69" s="66" t="inlineStr">
        <x:is>
          <x:t xml:space="preserve">Tipping, Send Love, and PPV are MVP launch scope.</x:t>
        </x:is>
      </x:c>
    </x:row>
    <x:row r="70" ht="28.5" customHeight="1">
      <x:c r="A70" s="65" t="inlineStr">
        <x:is>
          <x:t xml:space="preserve">•</x:t>
        </x:is>
      </x:c>
      <x:c r="B70" s="66" t="inlineStr">
        <x:is>
          <x:t xml:space="preserve">Live streaming remains post-MVP.</x:t>
        </x:is>
      </x:c>
    </x:row>
    <x:row r="71" ht="28.5" customHeight="1">
      <x:c r="A71" s="65" t="inlineStr">
        <x:is>
          <x:t xml:space="preserve">•</x:t>
        </x:is>
      </x:c>
      <x:c r="B71" s="66" t="str">
        <x:v>CCBill Sales replied and functioning-site preparation is underway. Password protection is permitted. Epoch outreach remains pending.</x:v>
      </x:c>
    </x:row>
    <x:row r="72" ht="28.5" customHeight="1">
      <x:c r="A72" s="65" t="inlineStr">
        <x:is>
          <x:t xml:space="preserve">•</x:t>
        </x:is>
      </x:c>
      <x:c r="B72" s="66" t="inlineStr">
        <x:is>
          <x:t xml:space="preserve">CCBill-to-Epoch cascade behavior is not yet confirmed.</x:t>
        </x:is>
      </x:c>
    </x:row>
    <x:row r="73" ht="28.5" customHeight="1">
      <x:c r="A73" s="65"/>
      <x:c r="B73" s="66"/>
    </x:row>
    <x:row r="74" ht="28.5" customHeight="1">
      <x:c r="A74" s="65"/>
      <x:c r="B74" s="66"/>
    </x:row>
    <x:row r="75" ht="28.5" customHeight="1">
      <x:c r="A75" s="65" t="inlineStr">
        <x:is>
          <x:t xml:space="preserve">•</x:t>
        </x:is>
      </x:c>
      <x:c r="B75" s="66" t="inlineStr">
        <x:is>
          <x:t xml:space="preserve">Commission, Founding Creator discount, payout cadence, and minimum payout remain undecided.</x:t>
        </x:is>
      </x:c>
    </x:row>
    <x:row r="76" ht="28.5" customHeight="1">
      <x:c r="A76" s="65" t="inlineStr">
        <x:is>
          <x:t xml:space="preserve">•</x:t>
        </x:is>
      </x:c>
      <x:c r="B76" s="66" t="inlineStr">
        <x:is>
          <x:t xml:space="preserve">The LLC is not filed. Founder prioritizes privacy and is considering a no-individual-income-tax state.</x:t>
        </x:is>
      </x:c>
    </x:row>
    <x:row r="77" ht="28.5" customHeight="1">
      <x:c r="A77" s="65" t="inlineStr">
        <x:is>
          <x:t xml:space="preserve">•</x:t>
        </x:is>
      </x:c>
      <x:c r="B77" s="66" t="inlineStr">
        <x:is>
          <x:t xml:space="preserve">Recommended stack: TypeScript for new API/contracts, gradual frontend conversion, Express, PostgreSQL, and Prisma.</x:t>
        </x:is>
      </x:c>
    </x:row>
    <x:row r="78" ht="28.5" customHeight="1">
      <x:c r="A78" s="65" t="inlineStr">
        <x:is>
          <x:t xml:space="preserve">•</x:t>
        </x:is>
      </x:c>
      <x:c r="B78" s="66" t="inlineStr">
        <x:is>
          <x:t xml:space="preserve">Recommended auth: one Pumdoki-owned account/session system with optional OAuth login methods later.</x:t>
        </x:is>
      </x:c>
    </x:row>
    <x:row r="79" ht="26.399999618530273" hidden="0" customHeight="1">
      <x:c r="A79" s="65" t="inlineStr">
        <x:is>
          <x:t xml:space="preserve">•</x:t>
        </x:is>
      </x:c>
      <x:c r="B79" s="66" t="str">
        <x:v>Founder decision (2026-08-01): no public /admin route. A separate apps/admin shell and dormant injected-verifier review seam exist, but public ADMIN authorization alone is insufficient; production operations identity, access controls, workflow UI, and deployment remain absent.</x:v>
      </x:c>
    </x:row>
    <x:row r="80" ht="28.5" customHeight="1">
      <x:c r="A80" s="65" t="inlineStr">
        <x:is>
          <x:t xml:space="preserve">•</x:t>
        </x:is>
      </x:c>
      <x:c r="B80" s="66" t="inlineStr">
        <x:is>
          <x:t xml:space="preserve">International launch should use a phased country allowlist rather than enabling every country immediately.</x:t>
        </x:is>
      </x:c>
    </x:row>
    <x:row r="81" ht="28.5" customHeight="1">
      <x:c r="A81" s="65" t="inlineStr">
        <x:is>
          <x:t xml:space="preserve">•</x:t>
        </x:is>
      </x:c>
      <x:c r="B81" s="66" t="inlineStr">
        <x:is>
          <x:t xml:space="preserve">Latin American creators are a core audience and require Spanish, local ID, tax, and payout support.</x:t>
        </x:is>
      </x:c>
    </x:row>
    <x:row r="82" ht="28.5" customHeight="1">
      <x:c r="A82" s="65" t="inlineStr">
        <x:is>
          <x:t xml:space="preserve">•</x:t>
        </x:is>
      </x:c>
      <x:c r="B82" s="66" t="inlineStr">
        <x:is>
          <x:t xml:space="preserve">Identity verification may start with a tightly controlled manual beta only if security/legal controls exist; design for provider migration.</x:t>
        </x:is>
      </x:c>
    </x:row>
    <x:row r="83" ht="28.5" customHeight="1">
      <x:c r="A83" s="65" t="inlineStr">
        <x:is>
          <x:t xml:space="preserve">•</x:t>
        </x:is>
      </x:c>
      <x:c r="B83" s="66" t="inlineStr">
        <x:is>
          <x:t xml:space="preserve">Use cost-conscious initial media limits and direct Cloudflare R2 uploads.</x:t>
        </x:is>
      </x:c>
    </x:row>
    <x:row r="84" ht="28.5" customHeight="1">
      <x:c r="A84" s="65" t="inlineStr">
        <x:is>
          <x:t xml:space="preserve">•</x:t>
        </x:is>
      </x:c>
      <x:c r="B84" s="66" t="inlineStr">
        <x:is>
          <x:t xml:space="preserve">Keep performer/consent records simple in the UI while supporting multiple performers in the data model.</x:t>
        </x:is>
      </x:c>
    </x:row>
    <x:row r="85" ht="28.5" customHeight="1">
      <x:c r="A85" s="65" t="inlineStr">
        <x:is>
          <x:t xml:space="preserve">•</x:t>
        </x:is>
      </x:c>
      <x:c r="B85" s="66" t="inlineStr">
        <x:is>
          <x:t xml:space="preserve">Creator membership tiers are standardized.</x:t>
        </x:is>
      </x:c>
    </x:row>
    <x:row r="86" ht="28.5" customHeight="1">
      <x:c r="A86" s="65" t="inlineStr">
        <x:is>
          <x:t xml:space="preserve">•</x:t>
        </x:is>
      </x:c>
      <x:c r="B86" s="66" t="str">
        <x:v>Store purchases remain launch scope. Payment method is unresolved.</x:v>
      </x:c>
    </x:row>
    <x:row r="87" ht="28.5" customHeight="1">
      <x:c r="A87" s="65" t="inlineStr">
        <x:is>
          <x:t xml:space="preserve">•</x:t>
        </x:is>
      </x:c>
      <x:c r="B87" s="66" t="str">
        <x:v>Connect remains launch scope. Payment and service rules need definition.</x:v>
      </x:c>
    </x:row>
    <x:row r="88" ht="28.5" customHeight="1">
      <x:c r="A88" s="65" t="inlineStr">
        <x:is>
          <x:t xml:space="preserve">•</x:t>
        </x:is>
      </x:c>
      <x:c r="B88" s="66" t="inlineStr">
        <x:is>
          <x:t xml:space="preserve">MVP direct messaging uses real WebSockets.</x:t>
        </x:is>
      </x:c>
    </x:row>
    <x:row r="89" ht="28.5" customHeight="1">
      <x:c r="A89" s="65" t="inlineStr">
        <x:is>
          <x:t xml:space="preserve">•</x:t>
        </x:is>
      </x:c>
      <x:c r="B89" s="66" t="inlineStr">
        <x:is>
          <x:t xml:space="preserve">Email provider is undecided; evaluate Amazon SES and provider adult-business support.</x:t>
        </x:is>
      </x:c>
    </x:row>
    <x:row r="90" ht="28.5" customHeight="1">
      <x:c r="A90" s="65" t="inlineStr">
        <x:is>
          <x:t xml:space="preserve">•</x:t>
        </x:is>
      </x:c>
      <x:c r="B90" s="66" t="inlineStr">
        <x:is>
          <x:t xml:space="preserve">Use .example sample addresses until real operational mailboxes exist.</x:t>
        </x:is>
      </x:c>
    </x:row>
    <x:row r="91" ht="28.5" customHeight="1">
      <x:c r="A91" s="65" t="inlineStr">
        <x:is>
          <x:t xml:space="preserve">•</x:t>
        </x:is>
      </x:c>
      <x:c r="B91" s="66" t="inlineStr">
        <x:is>
          <x:t xml:space="preserve">No legal counsel has approved policies yet.</x:t>
        </x:is>
      </x:c>
    </x:row>
    <x:row r="92" ht="28.5" customHeight="1">
      <x:c r="A92" s="65" t="inlineStr">
        <x:is>
          <x:t xml:space="preserve">•</x:t>
        </x:is>
      </x:c>
      <x:c r="B92" s="66" t="inlineStr">
        <x:is>
          <x:t xml:space="preserve">Members need a hide/show explicit 18+ content preference; default hidden is recommended.</x:t>
        </x:is>
      </x:c>
    </x:row>
    <x:row r="93" ht="28.5" customHeight="1">
      <x:c r="A93" s="65" t="inlineStr">
        <x:is>
          <x:t xml:space="preserve">•</x:t>
        </x:is>
      </x:c>
      <x:c r="B93" s="66" t="inlineStr">
        <x:is>
          <x:t xml:space="preserve">Store target: four noticeable medium YouTube-like thumbnails on common large desktops; scale column count with screen width.</x:t>
        </x:is>
      </x:c>
    </x:row>
    <x:row r="94" ht="28.5" customHeight="1">
      <x:c r="A94" s="65" t="inlineStr">
        <x:is>
          <x:t xml:space="preserve">•</x:t>
        </x:is>
      </x:c>
      <x:c r="B94" s="66" t="inlineStr">
        <x:is>
          <x:t xml:space="preserve">Oasis targets daily retention with collectible backgrounds, skins, frames, badges, and related cosmetics.</x:t>
        </x:is>
      </x:c>
    </x:row>
    <x:row r="95" ht="28.5" customHeight="1">
      <x:c r="A95" s="65" t="inlineStr">
        <x:is>
          <x:t xml:space="preserve">•</x:t>
        </x:is>
      </x:c>
      <x:c r="B95" s="66" t="inlineStr">
        <x:is>
          <x:t xml:space="preserve">Preserve the current uncommitted frontend work during restructuring.</x:t>
        </x:is>
      </x:c>
    </x:row>
    <x:row r="96" ht="28.5" customHeight="1">
      <x:c r="A96" s="65" t="inlineStr">
        <x:is>
          <x:t xml:space="preserve">•</x:t>
        </x:is>
      </x:c>
      <x:c r="B96" s="66" t="inlineStr">
        <x:is>
          <x:t xml:space="preserve">Start with known creators under controlled onboarding while preparing public member registration.</x:t>
        </x:is>
      </x:c>
    </x:row>
    <x:row r="97" ht="42" customHeight="1">
      <x:c r="A97" s="161" t="str">
        <x:v>Rows 1–96 retain historical context except scope removed by founder instruction; current operating notes begin below.</x:v>
      </x:c>
      <x:c r="B97" s="161"/>
    </x:row>
    <x:row r="98" ht="42" customHeight="1">
      <x:c r="A98" s="124" t="str">
        <x:v>📌 Tracker Operating Model — August 21, 2026</x:v>
      </x:c>
      <x:c r="B98" s="124"/>
    </x:row>
    <x:row r="99" ht="42" customHeight="1">
      <x:c r="A99" s="162" t="str">
        <x:v>Source of truth</x:v>
      </x:c>
      <x:c r="B99" s="109" t="str">
        <x:v>PLAN.md Phases 0–14 define the roadmap. Delivery Tracker is the current execution view; HANDOFF.md carries detailed active-slice evidence.</x:v>
      </x:c>
    </x:row>
    <x:row r="100" ht="42" customHeight="1">
      <x:c r="A100" s="163" t="str">
        <x:v>Legacy preservation</x:v>
      </x:c>
      <x:c r="B100" s="111" t="str">
        <x:v>The original Master Tracker and Legacy Overview remain visible. No legacy task, note, backlog item, assumption, or expense value was deleted.</x:v>
      </x:c>
    </x:row>
    <x:row r="101" ht="42" customHeight="1">
      <x:c r="A101" s="163" t="str">
        <x:v>Workflow</x:v>
      </x:c>
      <x:c r="B101" s="111" t="str">
        <x:v>Not Started, Ready, In Progress, In Review, Blocked, Done, Deferred.</x:v>
      </x:c>
    </x:row>
    <x:row r="102" ht="42" customHeight="1">
      <x:c r="A102" s="163" t="str">
        <x:v>Maturity</x:v>
      </x:c>
      <x:c r="B102" s="111" t="str">
        <x:v>Decision Locked means product scope or architecture direction only—never counsel-approved copy or provider approval. Workflow Done never automatically means Production-Ready.</x:v>
      </x:c>
    </x:row>
    <x:row r="103" ht="42" customHeight="1">
      <x:c r="A103" s="163" t="str">
        <x:v>Daily debrief</x:v>
      </x:c>
      <x:c r="B103" s="111" t="str">
        <x:v>Append one Daily Log row per meaningful session: goal, change, meaning, exclusions, verification, status, blocker, and next step.</x:v>
      </x:c>
    </x:row>
    <x:row r="104" ht="42" customHeight="1">
      <x:c r="A104" s="163" t="str">
        <x:v>Current focus</x:v>
      </x:c>
      <x:c r="B104" s="111" t="str">
        <x:v>Phase 4 Slice 3 is locally implemented at commit 9904334 and authorized for draft-PR review: strict provider-neutral assertion verification, DB-owned operator/grant authorization, and request-integrity seams. It is not mounted, deployed, or operational.</x:v>
      </x:c>
    </x:row>
    <x:row r="105" ht="42" customHeight="1">
      <x:c r="A105" s="163" t="str">
        <x:v>Phase 4</x:v>
      </x:c>
      <x:c r="B105" s="111" t="str">
        <x:v>Creator application and dormant non-approval review foundations are published. The Slice 3 local foundation is in review; legal, live provider/issuer, hosting, session, runtime-role, approval, role-promotion, identity, publishing, and deployment gates remain open. G1–G12 remain NOT EVALUATED.</x:v>
      </x:c>
    </x:row>
    <x:row r="106" ht="42" customHeight="1">
      <x:c r="A106" s="163" t="str">
        <x:v>Expense QC</x:v>
      </x:c>
      <x:c r="B106" s="111" t="str">
        <x:v>The visible Year 1 expense total appears inconsistent with visible inputs. It is preserved unchanged and flagged for separate founder review.</x:v>
      </x:c>
    </x:row>
    <x:row r="107" ht="42" customHeight="1">
      <x:c r="A107" s="163" t="str">
        <x:v>Last refreshed</x:v>
      </x:c>
      <x:c r="B107" s="111" t="str">
        <x:v>2026-08-23 by Codex during the authorized Phase 4 Slice 3 local implementation and draft-publication preparation.</x:v>
      </x:c>
    </x:row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  <x:mergeCell ref="A17:B17"/>
    <x:mergeCell ref="A43:B43"/>
    <x:mergeCell ref="A66:B66"/>
    <x:mergeCell ref="A52:B52"/>
    <x:mergeCell ref="A62:B62"/>
    <x:mergeCell ref="A97:B97"/>
    <x:mergeCell ref="A98:B9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38" customWidth="1"/>
    <x:col min="2" max="2" width="16" customWidth="1"/>
    <x:col min="3" max="3" width="12" customWidth="1"/>
    <x:col min="4" max="4" width="16" customWidth="1"/>
    <x:col min="5" max="6" width="14" customWidth="1"/>
    <x:col min="7" max="7" width="16" customWidth="1"/>
    <x:col min="8" max="8" width="54" customWidth="1"/>
    <x:col min="9" max="26" width="8.710000038146973" customWidth="1"/>
  </x:cols>
  <x:sheetData>
    <x:row r="1" ht="39.75" customHeight="1">
      <x:c r="A1" s="1" t="s">
        <x:v>425</x:v>
      </x:c>
      <x:c r="B1" s="2"/>
      <x:c r="C1" s="2"/>
      <x:c r="D1" s="2"/>
      <x:c r="E1" s="2"/>
      <x:c r="F1" s="2"/>
      <x:c r="G1" s="2"/>
      <x:c r="H1" s="3"/>
    </x:row>
    <x:row r="2" ht="30" customHeight="1">
      <x:c r="A2" s="205" t="str">
        <x:v>USD. Estimated costs are historical; see Launch Budget for planning. Actual purchases below were confirmed by the founder September 10, 2026. Transaction dates were not supplied.</x:v>
      </x:c>
      <x:c r="B2" s="206"/>
      <x:c r="C2" s="206"/>
      <x:c r="D2" s="206"/>
      <x:c r="E2" s="206"/>
      <x:c r="F2" s="206"/>
      <x:c r="G2" s="206"/>
      <x:c r="H2" s="206"/>
    </x:row>
    <x:row r="3" ht="25.5" customHeight="1">
      <x:c r="A3" s="68" t="s">
        <x:v>426</x:v>
      </x:c>
      <x:c r="B3" s="68" t="s">
        <x:v>331</x:v>
      </x:c>
      <x:c r="C3" s="68" t="s">
        <x:v>427</x:v>
      </x:c>
      <x:c r="D3" s="68" t="s">
        <x:v>428</x:v>
      </x:c>
      <x:c r="E3" s="68" t="s">
        <x:v>429</x:v>
      </x:c>
      <x:c r="F3" s="68" t="s">
        <x:v>430</x:v>
      </x:c>
      <x:c r="G3" s="68" t="s">
        <x:v>4</x:v>
      </x:c>
      <x:c r="H3" s="68" t="s">
        <x:v>5</x:v>
      </x:c>
    </x:row>
    <x:row r="4" ht="25.5" customHeight="1">
      <x:c r="A4" s="15" t="s">
        <x:v>431</x:v>
      </x:c>
      <x:c r="B4" s="2"/>
      <x:c r="C4" s="2"/>
      <x:c r="D4" s="2"/>
      <x:c r="E4" s="2"/>
      <x:c r="F4" s="2"/>
      <x:c r="G4" s="2"/>
      <x:c r="H4" s="3"/>
    </x:row>
    <x:row r="5">
      <x:c r="A5" s="16" t="s">
        <x:v>432</x:v>
      </x:c>
      <x:c r="B5" s="17" t="s">
        <x:v>433</x:v>
      </x:c>
      <x:c r="C5" s="17" t="s">
        <x:v>434</x:v>
      </x:c>
      <x:c r="D5" s="17">
        <x:v>500.0</x:v>
      </x:c>
      <x:c r="E5" s="17"/>
      <x:c r="F5" s="17" t="s">
        <x:v>435</x:v>
      </x:c>
      <x:c r="G5" s="24" t="s">
        <x:v>436</x:v>
      </x:c>
      <x:c r="H5" s="17" t="s">
        <x:v>437</x:v>
      </x:c>
    </x:row>
    <x:row r="6">
      <x:c r="A6" s="20" t="s">
        <x:v>438</x:v>
      </x:c>
      <x:c r="B6" s="21" t="s">
        <x:v>433</x:v>
      </x:c>
      <x:c r="C6" s="21" t="s">
        <x:v>434</x:v>
      </x:c>
      <x:c r="D6" s="21">
        <x:v>500.0</x:v>
      </x:c>
      <x:c r="E6" s="21"/>
      <x:c r="F6" s="21" t="s">
        <x:v>435</x:v>
      </x:c>
      <x:c r="G6" s="24" t="s">
        <x:v>436</x:v>
      </x:c>
      <x:c r="H6" s="21" t="s">
        <x:v>439</x:v>
      </x:c>
    </x:row>
    <x:row r="7">
      <x:c r="A7" s="16" t="s">
        <x:v>440</x:v>
      </x:c>
      <x:c r="B7" s="17" t="s">
        <x:v>433</x:v>
      </x:c>
      <x:c r="C7" s="17" t="s">
        <x:v>434</x:v>
      </x:c>
      <x:c r="D7" s="17">
        <x:v>0.0</x:v>
      </x:c>
      <x:c r="E7" s="17"/>
      <x:c r="F7" s="17" t="s">
        <x:v>435</x:v>
      </x:c>
      <x:c r="G7" s="24" t="s">
        <x:v>436</x:v>
      </x:c>
      <x:c r="H7" s="17" t="s">
        <x:v>441</x:v>
      </x:c>
    </x:row>
    <x:row r="8">
      <x:c r="A8" s="20" t="s">
        <x:v>442</x:v>
      </x:c>
      <x:c r="B8" s="21" t="s">
        <x:v>443</x:v>
      </x:c>
      <x:c r="C8" s="21" t="s">
        <x:v>434</x:v>
      </x:c>
      <x:c r="D8" s="21">
        <x:v>350.0</x:v>
      </x:c>
      <x:c r="E8" s="21"/>
      <x:c r="F8" s="21" t="s">
        <x:v>435</x:v>
      </x:c>
      <x:c r="G8" s="24" t="s">
        <x:v>436</x:v>
      </x:c>
      <x:c r="H8" s="21" t="s">
        <x:v>444</x:v>
      </x:c>
    </x:row>
    <x:row r="9">
      <x:c r="A9" s="16"/>
      <x:c r="B9" s="17"/>
      <x:c r="C9" s="17"/>
      <x:c r="D9" s="17"/>
      <x:c r="E9" s="17"/>
      <x:c r="F9" s="17"/>
      <x:c r="G9" s="24"/>
      <x:c r="H9" s="17"/>
    </x:row>
    <x:row r="10" ht="65" customHeight="1">
      <x:c r="A10" s="207" t="str">
        <x:v>Kiban Digital Holdings LLC — Northwest formation</x:v>
      </x:c>
      <x:c r="B10" s="208" t="s">
        <x:v>443</x:v>
      </x:c>
      <x:c r="C10" s="208" t="s">
        <x:v>434</x:v>
      </x:c>
      <x:c r="D10" s="208">
        <x:v>155.0</x:v>
      </x:c>
      <x:c r="E10" s="212" t="n">
        <x:v>196</x:v>
      </x:c>
      <x:c r="F10" s="208" t="s">
        <x:v>435</x:v>
      </x:c>
      <x:c r="G10" s="213" t="str">
        <x:v>Paid / filed</x:v>
      </x:c>
      <x:c r="H10" s="210" t="str">
        <x:v>Founder confirmed $196 total on September 10. Filed through Northwest; Maryland approval pending. Exact purchase date not supplied. Estimated Cost is the old allowance, not the amount paid.</x:v>
      </x:c>
    </x:row>
    <x:row r="11" ht="120" customHeight="1">
      <x:c r="A11" s="211" t="str">
        <x:v>Policy documents — Suzanne Lawyer (Fiverr)</x:v>
      </x:c>
      <x:c r="B11" s="208" t="s">
        <x:v>443</x:v>
      </x:c>
      <x:c r="C11" s="208" t="s">
        <x:v>434</x:v>
      </x:c>
      <x:c r="D11" s="208">
        <x:v>125.0</x:v>
      </x:c>
      <x:c r="E11" s="212" t="n">
        <x:v>1100</x:v>
      </x:c>
      <x:c r="F11" s="208" t="s">
        <x:v>435</x:v>
      </x:c>
      <x:c r="G11" s="214" t="str">
        <x:v>Paid / drafting</x:v>
      </x:c>
      <x:c r="H11" s="208" t="str">
        <x:v>Founder confirmed purchase September 10. $1,100 bundle: ToS $150; Privacy/Cookies $150; AUP $100; community rules $100; DMCA $100; NCII/TAKE IT DOWN $100; anti-trafficking $100; complaints/appeals $150; creator/payout terms $150. Offer: 5 revisions, 7 days. Delivery and approval pending. Transaction date and added fees not supplied. No other Fiverr purchases reported.</x:v>
      </x:c>
    </x:row>
    <x:row r="12">
      <x:c r="A12" s="16" t="s">
        <x:v>445</x:v>
      </x:c>
      <x:c r="B12" s="17" t="s">
        <x:v>443</x:v>
      </x:c>
      <x:c r="C12" s="17" t="s">
        <x:v>446</x:v>
      </x:c>
      <x:c r="D12" s="17">
        <x:v>125.0</x:v>
      </x:c>
      <x:c r="E12" s="17"/>
      <x:c r="F12" s="17" t="s">
        <x:v>447</x:v>
      </x:c>
      <x:c r="G12" s="24" t="s">
        <x:v>436</x:v>
      </x:c>
      <x:c r="H12" s="17" t="s">
        <x:v>448</x:v>
      </x:c>
    </x:row>
    <x:row r="13">
      <x:c r="A13" s="20" t="s">
        <x:v>449</x:v>
      </x:c>
      <x:c r="B13" s="21" t="s">
        <x:v>450</x:v>
      </x:c>
      <x:c r="C13" s="21" t="s">
        <x:v>446</x:v>
      </x:c>
      <x:c r="D13" s="21">
        <x:v>15.0</x:v>
      </x:c>
      <x:c r="E13" s="21"/>
      <x:c r="F13" s="21" t="s">
        <x:v>447</x:v>
      </x:c>
      <x:c r="G13" s="24" t="s">
        <x:v>436</x:v>
      </x:c>
      <x:c r="H13" s="21" t="s">
        <x:v>451</x:v>
      </x:c>
    </x:row>
    <x:row r="14" ht="16.5" customHeight="1">
      <x:c r="A14" s="16" t="s">
        <x:v>452</x:v>
      </x:c>
      <x:c r="B14" s="17" t="s">
        <x:v>450</x:v>
      </x:c>
      <x:c r="C14" s="17" t="s">
        <x:v>446</x:v>
      </x:c>
      <x:c r="D14" s="17">
        <x:v>30.0</x:v>
      </x:c>
      <x:c r="E14" s="17"/>
      <x:c r="F14" s="17" t="s">
        <x:v>447</x:v>
      </x:c>
      <x:c r="G14" s="24" t="s">
        <x:v>436</x:v>
      </x:c>
      <x:c r="H14" s="17" t="s">
        <x:v>453</x:v>
      </x:c>
    </x:row>
    <x:row r="15">
      <x:c r="A15" s="15" t="s">
        <x:v>454</x:v>
      </x:c>
      <x:c r="B15" s="2"/>
      <x:c r="C15" s="2"/>
      <x:c r="D15" s="2"/>
      <x:c r="E15" s="2"/>
      <x:c r="F15" s="2"/>
      <x:c r="G15" s="2"/>
      <x:c r="H15" s="3"/>
    </x:row>
    <x:row r="16">
      <x:c r="A16" s="32" t="s">
        <x:v>455</x:v>
      </x:c>
      <x:c r="B16" s="33" t="s">
        <x:v>450</x:v>
      </x:c>
      <x:c r="C16" s="33" t="s">
        <x:v>456</x:v>
      </x:c>
      <x:c r="D16" s="33">
        <x:v>18.0</x:v>
      </x:c>
      <x:c r="E16" s="33"/>
      <x:c r="F16" s="33" t="s">
        <x:v>456</x:v>
      </x:c>
      <x:c r="G16" s="39" t="s">
        <x:v>436</x:v>
      </x:c>
      <x:c r="H16" s="33" t="s">
        <x:v>457</x:v>
      </x:c>
    </x:row>
    <x:row r="17">
      <x:c r="A17" s="20" t="s">
        <x:v>458</x:v>
      </x:c>
      <x:c r="B17" s="21" t="s">
        <x:v>450</x:v>
      </x:c>
      <x:c r="C17" s="21" t="s">
        <x:v>456</x:v>
      </x:c>
      <x:c r="D17" s="21">
        <x:v>0.0</x:v>
      </x:c>
      <x:c r="E17" s="21"/>
      <x:c r="F17" s="21" t="s">
        <x:v>456</x:v>
      </x:c>
      <x:c r="G17" s="24" t="s">
        <x:v>436</x:v>
      </x:c>
      <x:c r="H17" s="21" t="s">
        <x:v>459</x:v>
      </x:c>
    </x:row>
    <x:row r="18">
      <x:c r="A18" s="16" t="s">
        <x:v>460</x:v>
      </x:c>
      <x:c r="B18" s="17" t="s">
        <x:v>450</x:v>
      </x:c>
      <x:c r="C18" s="17" t="s">
        <x:v>456</x:v>
      </x:c>
      <x:c r="D18" s="17">
        <x:v>0.0</x:v>
      </x:c>
      <x:c r="E18" s="17"/>
      <x:c r="F18" s="17" t="s">
        <x:v>456</x:v>
      </x:c>
      <x:c r="G18" s="24" t="s">
        <x:v>436</x:v>
      </x:c>
      <x:c r="H18" s="17" t="s">
        <x:v>461</x:v>
      </x:c>
    </x:row>
    <x:row r="19">
      <x:c r="A19" s="20" t="s">
        <x:v>462</x:v>
      </x:c>
      <x:c r="B19" s="21" t="s">
        <x:v>450</x:v>
      </x:c>
      <x:c r="C19" s="21" t="s">
        <x:v>456</x:v>
      </x:c>
      <x:c r="D19" s="21">
        <x:v>0.0</x:v>
      </x:c>
      <x:c r="E19" s="21"/>
      <x:c r="F19" s="21" t="s">
        <x:v>456</x:v>
      </x:c>
      <x:c r="G19" s="24" t="s">
        <x:v>436</x:v>
      </x:c>
      <x:c r="H19" s="21" t="s">
        <x:v>463</x:v>
      </x:c>
    </x:row>
    <x:row r="20">
      <x:c r="A20" s="16" t="s">
        <x:v>464</x:v>
      </x:c>
      <x:c r="B20" s="17" t="s">
        <x:v>450</x:v>
      </x:c>
      <x:c r="C20" s="17" t="s">
        <x:v>456</x:v>
      </x:c>
      <x:c r="D20" s="17">
        <x:v>0.0</x:v>
      </x:c>
      <x:c r="E20" s="17"/>
      <x:c r="F20" s="17" t="s">
        <x:v>456</x:v>
      </x:c>
      <x:c r="G20" s="24" t="s">
        <x:v>436</x:v>
      </x:c>
      <x:c r="H20" s="17" t="s">
        <x:v>465</x:v>
      </x:c>
    </x:row>
    <x:row r="21" ht="15.75" customHeight="1">
      <x:c r="A21" s="20" t="s">
        <x:v>466</x:v>
      </x:c>
      <x:c r="B21" s="21" t="s">
        <x:v>450</x:v>
      </x:c>
      <x:c r="C21" s="21" t="s">
        <x:v>456</x:v>
      </x:c>
      <x:c r="D21" s="21">
        <x:v>0.0</x:v>
      </x:c>
      <x:c r="E21" s="21"/>
      <x:c r="F21" s="21" t="s">
        <x:v>456</x:v>
      </x:c>
      <x:c r="G21" s="24" t="s">
        <x:v>436</x:v>
      </x:c>
      <x:c r="H21" s="21" t="s">
        <x:v>467</x:v>
      </x:c>
    </x:row>
    <x:row r="22" ht="25.5" customHeight="1">
      <x:c r="A22" s="36" t="s">
        <x:v>468</x:v>
      </x:c>
      <x:c r="B22" s="37" t="s">
        <x:v>450</x:v>
      </x:c>
      <x:c r="C22" s="37" t="s">
        <x:v>456</x:v>
      </x:c>
      <x:c r="D22" s="37">
        <x:v>0.0</x:v>
      </x:c>
      <x:c r="E22" s="37"/>
      <x:c r="F22" s="37" t="s">
        <x:v>456</x:v>
      </x:c>
      <x:c r="G22" s="30" t="s">
        <x:v>436</x:v>
      </x:c>
      <x:c r="H22" s="37" t="s">
        <x:v>469</x:v>
      </x:c>
    </x:row>
    <x:row r="23" ht="15.75" customHeight="1">
      <x:c r="A23" s="15" t="s">
        <x:v>470</x:v>
      </x:c>
      <x:c r="B23" s="2"/>
      <x:c r="C23" s="2"/>
      <x:c r="D23" s="2"/>
      <x:c r="E23" s="2"/>
      <x:c r="F23" s="2"/>
      <x:c r="G23" s="2"/>
      <x:c r="H23" s="3"/>
    </x:row>
    <x:row r="24" ht="15.75" customHeight="1">
      <x:c r="A24" s="32" t="s">
        <x:v>471</x:v>
      </x:c>
      <x:c r="B24" s="33" t="s">
        <x:v>433</x:v>
      </x:c>
      <x:c r="C24" s="33" t="s">
        <x:v>472</x:v>
      </x:c>
      <x:c r="D24" s="33">
        <x:v>0.0</x:v>
      </x:c>
      <x:c r="E24" s="33"/>
      <x:c r="F24" s="33" t="s">
        <x:v>473</x:v>
      </x:c>
      <x:c r="G24" s="39" t="s">
        <x:v>474</x:v>
      </x:c>
      <x:c r="H24" s="33" t="s">
        <x:v>475</x:v>
      </x:c>
    </x:row>
    <x:row r="25" ht="15.75" customHeight="1">
      <x:c r="A25" s="20" t="s">
        <x:v>476</x:v>
      </x:c>
      <x:c r="B25" s="21" t="s">
        <x:v>433</x:v>
      </x:c>
      <x:c r="C25" s="21" t="s">
        <x:v>472</x:v>
      </x:c>
      <x:c r="D25" s="21">
        <x:v>0.0</x:v>
      </x:c>
      <x:c r="E25" s="21"/>
      <x:c r="F25" s="21" t="s">
        <x:v>473</x:v>
      </x:c>
      <x:c r="G25" s="24" t="s">
        <x:v>474</x:v>
      </x:c>
      <x:c r="H25" s="21" t="s">
        <x:v>477</x:v>
      </x:c>
    </x:row>
    <x:row r="26" ht="25.5" customHeight="1">
      <x:c r="A26" s="36" t="s">
        <x:v>478</x:v>
      </x:c>
      <x:c r="B26" s="37" t="s">
        <x:v>433</x:v>
      </x:c>
      <x:c r="C26" s="37" t="s">
        <x:v>472</x:v>
      </x:c>
      <x:c r="D26" s="37">
        <x:v>0.0</x:v>
      </x:c>
      <x:c r="E26" s="37"/>
      <x:c r="F26" s="37" t="s">
        <x:v>479</x:v>
      </x:c>
      <x:c r="G26" s="30" t="s">
        <x:v>474</x:v>
      </x:c>
      <x:c r="H26" s="37" t="s">
        <x:v>480</x:v>
      </x:c>
    </x:row>
    <x:row r="27" ht="15.75" customHeight="1">
      <x:c r="A27" s="15" t="s">
        <x:v>481</x:v>
      </x:c>
      <x:c r="B27" s="2"/>
      <x:c r="C27" s="2"/>
      <x:c r="D27" s="2"/>
      <x:c r="E27" s="2"/>
      <x:c r="F27" s="2"/>
      <x:c r="G27" s="2"/>
      <x:c r="H27" s="3"/>
    </x:row>
    <x:row r="28" ht="15.75" customHeight="1">
      <x:c r="A28" s="32" t="s">
        <x:v>482</x:v>
      </x:c>
      <x:c r="B28" s="33" t="s">
        <x:v>433</x:v>
      </x:c>
      <x:c r="C28" s="33" t="s">
        <x:v>456</x:v>
      </x:c>
      <x:c r="D28" s="33">
        <x:v>0.0</x:v>
      </x:c>
      <x:c r="E28" s="33"/>
      <x:c r="F28" s="33" t="s">
        <x:v>456</x:v>
      </x:c>
      <x:c r="G28" s="39" t="s">
        <x:v>483</x:v>
      </x:c>
      <x:c r="H28" s="33" t="s">
        <x:v>484</x:v>
      </x:c>
    </x:row>
    <x:row r="29" ht="15.75" customHeight="1">
      <x:c r="A29" s="20" t="s">
        <x:v>485</x:v>
      </x:c>
      <x:c r="B29" s="21" t="s">
        <x:v>486</x:v>
      </x:c>
      <x:c r="C29" s="21" t="s">
        <x:v>456</x:v>
      </x:c>
      <x:c r="D29" s="21">
        <x:v>0.0</x:v>
      </x:c>
      <x:c r="E29" s="21"/>
      <x:c r="F29" s="21" t="s">
        <x:v>456</x:v>
      </x:c>
      <x:c r="G29" s="24" t="s">
        <x:v>483</x:v>
      </x:c>
      <x:c r="H29" s="21" t="s">
        <x:v>487</x:v>
      </x:c>
    </x:row>
    <x:row r="30" ht="15.75" customHeight="1">
      <x:c r="A30" s="16" t="s">
        <x:v>488</x:v>
      </x:c>
      <x:c r="B30" s="17" t="s">
        <x:v>443</x:v>
      </x:c>
      <x:c r="C30" s="17" t="s">
        <x:v>456</x:v>
      </x:c>
      <x:c r="D30" s="17">
        <x:v>0.0</x:v>
      </x:c>
      <x:c r="E30" s="17"/>
      <x:c r="F30" s="17" t="s">
        <x:v>456</x:v>
      </x:c>
      <x:c r="G30" s="24" t="s">
        <x:v>483</x:v>
      </x:c>
      <x:c r="H30" s="17" t="s">
        <x:v>489</x:v>
      </x:c>
    </x:row>
    <x:row r="31" ht="25.5" customHeight="1"/>
    <x:row r="32" ht="15.75" customHeight="1">
      <x:c r="A32" s="15" t="s">
        <x:v>490</x:v>
      </x:c>
      <x:c r="B32" s="2"/>
      <x:c r="C32" s="2"/>
      <x:c r="D32" s="2"/>
      <x:c r="E32" s="2"/>
      <x:c r="F32" s="2"/>
      <x:c r="G32" s="2"/>
      <x:c r="H32" s="3"/>
    </x:row>
    <x:row r="33" ht="15.75" customHeight="1">
      <x:c r="A33" s="6" t="s">
        <x:v>491</x:v>
      </x:c>
      <x:c r="B33" s="69" t="n">
        <x:f>SUM(D5:D11)</x:f>
        <x:v>1630</x:v>
      </x:c>
    </x:row>
    <x:row r="34" ht="15.75" customHeight="1">
      <x:c r="A34" s="7" t="s">
        <x:v>492</x:v>
      </x:c>
      <x:c r="B34" s="70" t="n">
        <x:f>SUM(D12:D14)</x:f>
        <x:v>170</x:v>
      </x:c>
    </x:row>
    <x:row r="35" ht="15.75" customHeight="1">
      <x:c r="A35" s="6" t="s">
        <x:v>493</x:v>
      </x:c>
      <x:c r="B35" s="69" t="n">
        <x:f>SUM(D16:D22)</x:f>
        <x:v>18</x:v>
      </x:c>
    </x:row>
    <x:row r="36" ht="15.75" customHeight="1">
      <x:c r="A36" s="7" t="s">
        <x:v>494</x:v>
      </x:c>
      <x:c r="B36" s="70" t="n">
        <x:f>B33+B34+B35*12</x:f>
        <x:v>2016</x:v>
      </x:c>
    </x:row>
    <x:row r="37" ht="22" customHeight="1">
      <x:c r="A37" s="203" t="str">
        <x:v>Actual paid to date</x:v>
      </x:c>
      <x:c r="B37" s="204" t="n">
        <x:f>SUM(E5:E30)</x:f>
        <x:v>1296</x:v>
      </x:c>
    </x:row>
    <x:row r="38" ht="15.75" customHeight="1">
      <x:c r="A38" t="str">
        <x:v>Original displayed Year 1 total</x:v>
      </x:c>
      <x:c r="B38" s="172" t="n">
        <x:v>1713</x:v>
      </x:c>
    </x:row>
    <x:row r="39" ht="15.75" customHeight="1">
      <x:c r="A39" t="str">
        <x:v>Remaining estimate vs original total</x:v>
      </x:c>
      <x:c r="B39" s="172" t="n">
        <x:f>B36-B38</x:f>
        <x:v>303</x:v>
      </x:c>
    </x:row>
    <x:row r="40" ht="38" customHeight="1">
      <x:c r="A40" t="str">
        <x:v>Current budget</x:v>
      </x:c>
      <x:c r="B40" s="82" t="str">
        <x:v>See Launch Budget. Old registration, legal, free-tier and processor assumptions are superseded.</x:v>
      </x:c>
      <x:c r="C40" s="82"/>
      <x:c r="D40" s="82"/>
      <x:c r="E40" s="82"/>
      <x:c r="F40" s="82"/>
      <x:c r="G40" s="82"/>
      <x:c r="H40" s="82"/>
    </x:row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  <x:mergeCell ref="A15:H15"/>
    <x:mergeCell ref="A23:H23"/>
    <x:mergeCell ref="A27:H27"/>
    <x:mergeCell ref="A32:H32"/>
    <x:mergeCell ref="B40:H40"/>
  </x:mergeCells>
  <x:conditionalFormatting sqref="G5:G30">
    <x:cfRule type="containsText" dxfId="69" priority="1" operator="containsText" text="Deferr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">
        <x:v>495</x:v>
      </x:c>
      <x:c r="B1"/>
      <x:c r="C1"/>
      <x:c r="D1"/>
      <x:c r="E1"/>
      <x:c r="F1"/>
      <x:c r="G1"/>
    </x:row>
    <x:row r="2">
      <x:c r="A2" t="s">
        <x:v>496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">
        <x:v>497</x:v>
      </x:c>
      <x:c r="B4"/>
      <x:c r="C4"/>
      <x:c r="D4" t="s">
        <x:v>498</x:v>
      </x:c>
      <x:c r="E4"/>
      <x:c r="F4"/>
      <x:c r="G4"/>
    </x:row>
    <x:row r="5">
      <x:c r="A5" t="s">
        <x:v>499</x:v>
      </x:c>
      <x:c r="B5" t="n">
        <x:f>COUNTIF('Master Tracker'!C4:C164,"✅ Done")+COUNTIF('Master Tracker'!C4:C164,"🔄 In Progress")+COUNTIF('Master Tracker'!C4:C164,"📋 Not Started")</x:f>
        <x:v>143</x:v>
      </x:c>
      <x:c r="C5"/>
      <x:c r="D5" t="s">
        <x:v>500</x:v>
      </x:c>
      <x:c r="E5" t="n">
        <x:f>COUNTA(Backlog!A2:A30)</x:f>
        <x:v>15</x:v>
      </x:c>
      <x:c r="F5"/>
      <x:c r="G5"/>
    </x:row>
    <x:row r="6">
      <x:c r="A6" t="s">
        <x:v>9</x:v>
      </x:c>
      <x:c r="B6" t="n">
        <x:f>COUNTIF('Master Tracker'!C4:C164,"✅ Done")</x:f>
        <x:v>21</x:v>
      </x:c>
      <x:c r="C6"/>
      <x:c r="D6" t="s">
        <x:v>21</x:v>
      </x:c>
      <x:c r="E6" t="n">
        <x:f>COUNTIF(Backlog!E2:E30,"📋 Not Started")</x:f>
        <x:v>12</x:v>
      </x:c>
      <x:c r="F6"/>
      <x:c r="G6"/>
    </x:row>
    <x:row r="7">
      <x:c r="A7" t="s">
        <x:v>26</x:v>
      </x:c>
      <x:c r="B7" t="n">
        <x:f>COUNTIF('Master Tracker'!C4:C164,"🔄 In Progress")</x:f>
        <x:v>52</x:v>
      </x:c>
      <x:c r="C7"/>
      <x:c r="D7"/>
      <x:c r="E7"/>
      <x:c r="F7"/>
      <x:c r="G7"/>
    </x:row>
    <x:row r="8">
      <x:c r="A8" t="s">
        <x:v>21</x:v>
      </x:c>
      <x:c r="B8" t="n">
        <x:f>COUNTIF('Master Tracker'!C4:C164,"📋 Not Started")</x:f>
        <x:v>70</x:v>
      </x:c>
      <x:c r="C8"/>
      <x:c r="D8"/>
      <x:c r="E8"/>
      <x:c r="F8"/>
      <x:c r="G8"/>
    </x:row>
    <x:row r="9">
      <x:c r="A9" t="s">
        <x:v>501</x:v>
      </x:c>
      <x:c r="B9" t="n">
        <x:f>IF(B5=0,0,B6/B5)</x:f>
        <x:v>0.14685314685314685</x:v>
      </x:c>
      <x:c r="C9"/>
      <x:c r="D9"/>
      <x:c r="E9"/>
      <x:c r="F9"/>
      <x:c r="G9"/>
    </x:row>
    <x:row r="10">
      <x:c r="A10"/>
      <x:c r="B10"/>
      <x:c r="C10"/>
      <x:c r="D10"/>
      <x:c r="E10"/>
      <x:c r="F10"/>
      <x:c r="G10"/>
    </x:row>
    <x:row r="11">
      <x:c r="A11"/>
      <x:c r="B11"/>
      <x:c r="C11"/>
      <x:c r="D11"/>
      <x:c r="E11"/>
      <x:c r="F11"/>
      <x:c r="G11"/>
    </x:row>
    <x:row r="12">
      <x:c r="A12" t="s">
        <x:v>502</x:v>
      </x:c>
      <x:c r="B12"/>
      <x:c r="C12" t="s">
        <x:v>503</x:v>
      </x:c>
      <x:c r="D12"/>
      <x:c r="E12"/>
      <x:c r="F12"/>
      <x:c r="G12"/>
    </x:row>
    <x:row r="13">
      <x:c r="A13" t="s">
        <x:v>9</x:v>
      </x:c>
      <x:c r="B13"/>
      <x:c r="C13" t="str">
        <x:v>Counts are derived from the Master Tracker through August 16, 2026. Section headers are excluded.</x:v>
      </x:c>
      <x:c r="D13"/>
      <x:c r="E13"/>
      <x:c r="F13"/>
      <x:c r="G13"/>
    </x:row>
    <x:row r="14">
      <x:c r="A14" t="s">
        <x:v>26</x:v>
      </x:c>
      <x:c r="B14"/>
      <x:c r="C14" t="s">
        <x:v>504</x:v>
      </x:c>
      <x:c r="D14"/>
      <x:c r="E14"/>
      <x:c r="F14"/>
      <x:c r="G14"/>
    </x:row>
    <x:row r="15">
      <x:c r="A15" t="s">
        <x:v>21</x:v>
      </x:c>
      <x:c r="B15"/>
      <x:c r="C15" t="s">
        <x:v>505</x:v>
      </x:c>
      <x:c r="D15"/>
      <x:c r="E15"/>
      <x:c r="F15"/>
      <x:c r="G15"/>
    </x:row>
    <x:row r="16">
      <x:c r="A16"/>
      <x:c r="B16"/>
      <x:c r="C16" t="s">
        <x:v>506</x:v>
      </x:c>
      <x:c r="D16"/>
      <x:c r="E16"/>
      <x:c r="F16"/>
      <x:c r="G16"/>
    </x:row>
    <x:row r="17">
      <x:c r="A17"/>
      <x:c r="B17"/>
      <x:c r="C17" t="s">
        <x:v>507</x:v>
      </x:c>
      <x:c r="D17"/>
      <x:c r="E17"/>
      <x:c r="F17"/>
      <x:c r="G17"/>
    </x:row>
    <x:row r="18">
      <x:c r="A18"/>
      <x:c r="B18"/>
      <x:c r="C18" t="s">
        <x:v>508</x:v>
      </x:c>
      <x:c r="D18"/>
      <x:c r="E18"/>
      <x:c r="F18"/>
      <x:c r="G18"/>
    </x:row>
    <x:row r="19">
      <x:c r="A19"/>
      <x:c r="B19"/>
      <x:c r="C19" t="s">
        <x:v>509</x:v>
      </x:c>
      <x:c r="D19"/>
      <x:c r="E19"/>
      <x:c r="F19"/>
      <x:c r="G19"/>
    </x:row>
    <x:row r="20">
      <x:c r="A20"/>
      <x:c r="B20"/>
      <x:c r="C20" t="str">
        <x:v>Phase 1 and the founder-approved Phase 3 core scope are published and CI-verified. Phase 2 remains partial. PR #1 merged the Phase 4 creator-application and dormant non-approval review foundation, PR #2 merged routing hardening, and PR #3 merged non-secret readiness documentation. The operations router remains unmounted and activation gates G1–G12 are NOT EVALUATED.</x:v>
      </x:c>
      <x:c r="D20"/>
      <x:c r="E20"/>
      <x:c r="F20"/>
      <x:c r="G20"/>
    </x:row>
    <x:row r="21">
      <x:c r="A21"/>
      <x:c r="B21"/>
      <x:c r="C21" t="str">
        <x:v>Connect Tech LLC</x:v>
      </x:c>
      <x:c r="D21"/>
      <x:c r="E21"/>
      <x:c r="F21"/>
      <x:c r="G21"/>
    </x:row>
    <x:row r="23">
      <x:c r="A23" s="124" t="str">
        <x:v>Preservation note</x:v>
      </x:c>
      <x:c r="B23" s="124"/>
      <x:c r="C23" s="124"/>
      <x:c r="D23" s="124"/>
      <x:c r="E23" s="124"/>
      <x:c r="F23" s="124"/>
      <x:c r="G23" s="124"/>
    </x:row>
    <x:row r="24">
      <x:c r="A24" s="109" t="str">
        <x:v>This sheet is the untouched August 16 Overview snapshot retained during the PLAN.md tracker rework.</x:v>
      </x:c>
      <x:c r="B24" s="109"/>
      <x:c r="C24" s="109"/>
      <x:c r="D24" s="109"/>
      <x:c r="E24" s="109"/>
      <x:c r="F24" s="109"/>
      <x:c r="G24" s="109"/>
    </x:row>
    <x:row r="25">
      <x:c r="A25" s="111" t="str">
        <x:v>Use Overview, Phase Roadmap, Delivery Tracker, Review &amp; Blocker Queue, Daily Log, and Decision Register for current project management.</x:v>
      </x:c>
      <x:c r="B25" s="111"/>
      <x:c r="C25" s="111"/>
      <x:c r="D25" s="111"/>
      <x:c r="E25" s="111"/>
      <x:c r="F25" s="111"/>
      <x:c r="G25" s="111"/>
    </x:row>
    <x:row r="26">
      <x:c r="A26" s="111" t="str">
        <x:v>The original Master Tracker remains visible and preserved as the legacy task source.</x:v>
      </x:c>
      <x:c r="B26" s="111"/>
      <x:c r="C26" s="111"/>
      <x:c r="D26" s="111"/>
      <x:c r="E26" s="111"/>
      <x:c r="F26" s="111"/>
      <x:c r="G26" s="111"/>
    </x:row>
  </x:sheetData>
  <x:mergeCells>
    <x:mergeCell ref="A23:G23"/>
    <x:mergeCell ref="A24:G24"/>
    <x:mergeCell ref="A25:G25"/>
    <x:mergeCell ref="A26:G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9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2" customHeight="1">
      <x:c r="A1" s="88" t="str">
        <x:v>⚙ Pumdoki Tracker Controls &amp; Definitions</x:v>
      </x:c>
      <x:c r="B1" s="88"/>
      <x:c r="C1" s="88"/>
      <x:c r="D1" s="88"/>
      <x:c r="E1" s="88"/>
      <x:c r="F1" s="88"/>
      <x:c r="G1" s="88"/>
      <x:c r="H1" s="88"/>
    </x:row>
    <x:row r="2" ht="24" customHeight="1">
      <x:c r="A2" s="92" t="str">
        <x:v>Editable dropdown values and concise operating definitions. PLAN.md remains the phase source of truth.</x:v>
      </x:c>
      <x:c r="B2" s="92"/>
      <x:c r="C2" s="92"/>
      <x:c r="D2" s="92"/>
      <x:c r="E2" s="92"/>
      <x:c r="F2" s="92"/>
      <x:c r="G2" s="92"/>
      <x:c r="H2" s="92"/>
    </x:row>
    <x:row r="4" ht="34" customHeight="1">
      <x:c r="A4" s="98" t="str">
        <x:v>Phase ID</x:v>
      </x:c>
      <x:c r="B4" s="98" t="str">
        <x:v>Phase Name</x:v>
      </x:c>
      <x:c r="C4" s="98" t="str">
        <x:v>Workflow</x:v>
      </x:c>
      <x:c r="D4" s="98" t="str">
        <x:v>Maturity</x:v>
      </x:c>
      <x:c r="E4" s="98" t="str">
        <x:v>Priority</x:v>
      </x:c>
      <x:c r="F4" s="98" t="str">
        <x:v>Owner</x:v>
      </x:c>
      <x:c r="G4" s="98" t="str">
        <x:v>Record Type</x:v>
      </x:c>
      <x:c r="H4" s="98" t="str">
        <x:v>Phase State</x:v>
      </x:c>
    </x:row>
    <x:row r="5">
      <x:c r="A5" s="109" t="str">
        <x:v>P00</x:v>
      </x:c>
      <x:c r="B5" s="109" t="str">
        <x:v>Baseline, tracker, and scope control</x:v>
      </x:c>
      <x:c r="C5" s="109" t="str">
        <x:v>Not Started</x:v>
      </x:c>
      <x:c r="D5" s="109" t="str">
        <x:v>Decision Locked</x:v>
      </x:c>
      <x:c r="E5" s="109" t="str">
        <x:v>Critical</x:v>
      </x:c>
      <x:c r="F5" s="109" t="str">
        <x:v>Founder</x:v>
      </x:c>
      <x:c r="G5" s="109" t="str">
        <x:v>PLAN task</x:v>
      </x:c>
      <x:c r="H5" s="109" t="str">
        <x:v>Not Started</x:v>
      </x:c>
    </x:row>
    <x:row r="6">
      <x:c r="A6" s="111" t="str">
        <x:v>P01</x:v>
      </x:c>
      <x:c r="B6" s="111" t="str">
        <x:v>Repository and frontend foundation</x:v>
      </x:c>
      <x:c r="C6" s="111" t="str">
        <x:v>Ready</x:v>
      </x:c>
      <x:c r="D6" s="111" t="str">
        <x:v>UI Prototype</x:v>
      </x:c>
      <x:c r="E6" s="111" t="str">
        <x:v>High</x:v>
      </x:c>
      <x:c r="F6" s="111" t="str">
        <x:v>Engineering</x:v>
      </x:c>
      <x:c r="G6" s="111" t="str">
        <x:v>PLAN phase gate</x:v>
      </x:c>
      <x:c r="H6" s="111" t="str">
        <x:v>Partially Complete</x:v>
      </x:c>
    </x:row>
    <x:row r="7">
      <x:c r="A7" s="111" t="str">
        <x:v>P02</x:v>
      </x:c>
      <x:c r="B7" s="111" t="str">
        <x:v>Backend and database foundation</x:v>
      </x:c>
      <x:c r="C7" s="111" t="str">
        <x:v>In Progress</x:v>
      </x:c>
      <x:c r="D7" s="111" t="str">
        <x:v>Backend Implemented</x:v>
      </x:c>
      <x:c r="E7" s="111" t="str">
        <x:v>Medium</x:v>
      </x:c>
      <x:c r="F7" s="111" t="str">
        <x:v>Operations</x:v>
      </x:c>
      <x:c r="G7" s="111" t="str">
        <x:v>Supplemental</x:v>
      </x:c>
      <x:c r="H7" s="111" t="str">
        <x:v>Foundation Complete</x:v>
      </x:c>
    </x:row>
    <x:row r="8">
      <x:c r="A8" s="111" t="str">
        <x:v>P03</x:v>
      </x:c>
      <x:c r="B8" s="111" t="str">
        <x:v>Authentication, roles, and settings</x:v>
      </x:c>
      <x:c r="C8" s="111" t="str">
        <x:v>In Review</x:v>
      </x:c>
      <x:c r="D8" s="111" t="str">
        <x:v>Integrated</x:v>
      </x:c>
      <x:c r="E8" s="111" t="str">
        <x:v>Low</x:v>
      </x:c>
      <x:c r="F8" s="111" t="str">
        <x:v>Counsel</x:v>
      </x:c>
      <x:c r="G8" s="111" t="str">
        <x:v>Legacy-mapped task</x:v>
      </x:c>
      <x:c r="H8" s="111" t="str">
        <x:v>Complete</x:v>
      </x:c>
    </x:row>
    <x:row r="9">
      <x:c r="A9" s="111" t="str">
        <x:v>P04</x:v>
      </x:c>
      <x:c r="B9" s="111" t="str">
        <x:v>Legal, trust, and creator onboarding</x:v>
      </x:c>
      <x:c r="C9" s="111" t="str">
        <x:v>Blocked</x:v>
      </x:c>
      <x:c r="D9" s="111" t="str">
        <x:v>Production-Ready</x:v>
      </x:c>
      <x:c r="E9" s="111" t="str"/>
      <x:c r="F9" s="111" t="str">
        <x:v>Unassigned</x:v>
      </x:c>
      <x:c r="G9" s="111" t="str">
        <x:v>Published slice</x:v>
      </x:c>
      <x:c r="H9" s="111" t="str">
        <x:v>Blocked</x:v>
      </x:c>
    </x:row>
    <x:row r="10">
      <x:c r="A10" s="111" t="str">
        <x:v>P05</x:v>
      </x:c>
      <x:c r="B10" s="111" t="str">
        <x:v>Media pipeline and content model</x:v>
      </x:c>
      <x:c r="C10" s="111" t="str">
        <x:v>Done</x:v>
      </x:c>
      <x:c r="D10" s="111" t="str">
        <x:v>N/A</x:v>
      </x:c>
      <x:c r="E10" s="111" t="str"/>
      <x:c r="F10" s="111" t="str"/>
      <x:c r="G10" s="111" t="str">
        <x:v>Decision</x:v>
      </x:c>
      <x:c r="H10" s="219" t="str">
        <x:v>Deferred</x:v>
      </x:c>
    </x:row>
    <x:row r="11">
      <x:c r="A11" s="111" t="str">
        <x:v>P06</x:v>
      </x:c>
      <x:c r="B11" s="111" t="str">
        <x:v>Payments, subscriptions, tipping, and PPV</x:v>
      </x:c>
      <x:c r="C11" s="219" t="str">
        <x:v>Deferred</x:v>
      </x:c>
      <x:c r="D11" s="111" t="str"/>
      <x:c r="E11" s="111" t="str"/>
      <x:c r="F11" s="111" t="str"/>
      <x:c r="G11" s="111" t="str">
        <x:v>Exit criterion</x:v>
      </x:c>
      <x:c r="H11" s="111" t="str"/>
    </x:row>
    <x:row r="12">
      <x:c r="A12" s="111" t="str">
        <x:v>P07</x:v>
      </x:c>
      <x:c r="B12" s="111" t="str">
        <x:v>Core end-to-end vertical slice</x:v>
      </x:c>
      <x:c r="C12" s="111" t="str"/>
      <x:c r="D12" s="111" t="str"/>
      <x:c r="E12" s="111" t="str"/>
      <x:c r="F12" s="111" t="str"/>
      <x:c r="G12" s="111" t="str"/>
      <x:c r="H12" s="111" t="str"/>
    </x:row>
    <x:row r="13">
      <x:c r="A13" s="111" t="str">
        <x:v>P08</x:v>
      </x:c>
      <x:c r="B13" s="111" t="str">
        <x:v>Feed, social actions, Store, and Connect</x:v>
      </x:c>
      <x:c r="C13" s="111" t="str"/>
      <x:c r="D13" s="111" t="str"/>
      <x:c r="E13" s="111" t="str"/>
      <x:c r="F13" s="111" t="str"/>
      <x:c r="G13" s="111" t="str"/>
      <x:c r="H13" s="111" t="str"/>
    </x:row>
    <x:row r="14">
      <x:c r="A14" s="111" t="str">
        <x:v>P09</x:v>
      </x:c>
      <x:c r="B14" s="111" t="str">
        <x:v>Real-time messaging and notifications</x:v>
      </x:c>
      <x:c r="C14" s="111" t="str"/>
      <x:c r="D14" s="111" t="str"/>
      <x:c r="E14" s="111" t="str"/>
      <x:c r="F14" s="111" t="str"/>
      <x:c r="G14" s="111" t="str"/>
      <x:c r="H14" s="111" t="str"/>
    </x:row>
    <x:row r="15">
      <x:c r="A15" s="111" t="str">
        <x:v>P10</x:v>
      </x:c>
      <x:c r="B15" s="111" t="str">
        <x:v>Creator dashboard</x:v>
      </x:c>
      <x:c r="C15" s="111" t="str"/>
      <x:c r="D15" s="111" t="str"/>
      <x:c r="E15" s="111" t="str"/>
      <x:c r="F15" s="111" t="str"/>
      <x:c r="G15" s="111" t="str"/>
      <x:c r="H15" s="111" t="str"/>
    </x:row>
    <x:row r="16">
      <x:c r="A16" s="111" t="str">
        <x:v>P11</x:v>
      </x:c>
      <x:c r="B16" s="111" t="str">
        <x:v>Admin and moderation</x:v>
      </x:c>
      <x:c r="C16" s="111" t="str"/>
      <x:c r="D16" s="111" t="str"/>
      <x:c r="E16" s="111" t="str"/>
      <x:c r="F16" s="111" t="str"/>
      <x:c r="G16" s="111" t="str"/>
      <x:c r="H16" s="111" t="str"/>
    </x:row>
    <x:row r="17">
      <x:c r="A17" s="111" t="str">
        <x:v>P12</x:v>
      </x:c>
      <x:c r="B17" s="111" t="str">
        <x:v>Oasis replacement concept (post-launch)</x:v>
      </x:c>
      <x:c r="C17" s="111" t="str"/>
      <x:c r="D17" s="111" t="str"/>
      <x:c r="E17" s="111" t="str"/>
      <x:c r="F17" s="111" t="str"/>
      <x:c r="G17" s="111" t="str"/>
      <x:c r="H17" s="111" t="str"/>
    </x:row>
    <x:row r="18">
      <x:c r="A18" s="111" t="str">
        <x:v>P13</x:v>
      </x:c>
      <x:c r="B18" s="111" t="str">
        <x:v>Internationalization and accessibility</x:v>
      </x:c>
      <x:c r="C18" s="111" t="str"/>
      <x:c r="D18" s="111" t="str"/>
      <x:c r="E18" s="111" t="str"/>
      <x:c r="F18" s="111" t="str"/>
      <x:c r="G18" s="111" t="str"/>
      <x:c r="H18" s="111" t="str"/>
    </x:row>
    <x:row r="19">
      <x:c r="A19" s="111" t="str">
        <x:v>P14</x:v>
      </x:c>
      <x:c r="B19" s="111" t="str">
        <x:v>QA, security, private beta, and launch</x:v>
      </x:c>
      <x:c r="C19" s="111" t="str"/>
      <x:c r="D19" s="111" t="str"/>
      <x:c r="E19" s="111" t="str"/>
      <x:c r="F19" s="111" t="str"/>
      <x:c r="G19" s="111" t="str"/>
      <x:c r="H19" s="111" t="str"/>
    </x:row>
    <x:row r="20">
      <x:c r="A20" s="111" t="str">
        <x:v>POST</x:v>
      </x:c>
      <x:c r="B20" s="111" t="str">
        <x:v>Post-MVP</x:v>
      </x:c>
      <x:c r="C20" s="111" t="str"/>
      <x:c r="D20" s="111" t="str"/>
      <x:c r="E20" s="111" t="str"/>
      <x:c r="F20" s="111" t="str"/>
      <x:c r="G20" s="111" t="str"/>
      <x:c r="H20" s="111" t="str"/>
    </x:row>
    <x:row r="21">
      <x:c r="A21" s="111"/>
      <x:c r="B21" s="111"/>
      <x:c r="C21" s="111"/>
      <x:c r="D21" s="111"/>
      <x:c r="E21" s="111"/>
      <x:c r="F21" s="111"/>
      <x:c r="G21" s="111"/>
      <x:c r="H21" s="111"/>
    </x:row>
    <x:row r="22">
      <x:c r="A22" s="111"/>
      <x:c r="B22" s="111"/>
      <x:c r="C22" s="111"/>
      <x:c r="D22" s="111"/>
      <x:c r="E22" s="111"/>
      <x:c r="F22" s="111"/>
      <x:c r="G22" s="111"/>
      <x:c r="H22" s="111"/>
    </x:row>
    <x:row r="23">
      <x:c r="A23" s="111"/>
      <x:c r="B23" s="111"/>
      <x:c r="C23" s="111"/>
      <x:c r="D23" s="111"/>
      <x:c r="E23" s="111"/>
      <x:c r="F23" s="111"/>
      <x:c r="G23" s="111"/>
      <x:c r="H23" s="111"/>
    </x:row>
    <x:row r="24">
      <x:c r="A24" s="111"/>
      <x:c r="B24" s="111"/>
      <x:c r="C24" s="111"/>
      <x:c r="D24" s="111"/>
      <x:c r="E24" s="111"/>
      <x:c r="F24" s="111"/>
      <x:c r="G24" s="111"/>
      <x:c r="H24" s="111"/>
    </x:row>
    <x:row r="25">
      <x:c r="A25" s="122" t="str">
        <x:v>Operating definitions</x:v>
      </x:c>
      <x:c r="B25" s="122"/>
      <x:c r="C25" s="122"/>
      <x:c r="D25" s="122"/>
      <x:c r="E25" s="122"/>
      <x:c r="F25" s="122"/>
      <x:c r="G25" s="122"/>
      <x:c r="H25" s="122"/>
    </x:row>
    <x:row r="26" ht="44" customHeight="1">
      <x:c r="A26" s="111" t="str">
        <x:v>Not Started</x:v>
      </x:c>
      <x:c r="B26" s="111" t="str">
        <x:v>No implementation is underway.</x:v>
      </x:c>
      <x:c r="C26" s="111"/>
      <x:c r="D26" s="111" t="str">
        <x:v>Decision Locked</x:v>
      </x:c>
      <x:c r="E26" s="111" t="str">
        <x:v>Product scope or architecture direction is approved; implementation may be absent. This never means counsel-approved copy, provider approval, or production readiness.</x:v>
      </x:c>
      <x:c r="F26" s="111"/>
      <x:c r="G26" s="111" t="str">
        <x:v>Source of truth</x:v>
      </x:c>
      <x:c r="H26" s="111" t="str">
        <x:v>Delivery Tracker = current execution state; PLAN.md = scope/dependency architecture; HANDOFF.md = active technical evidence.</x:v>
      </x:c>
    </x:row>
    <x:row r="27" ht="44" customHeight="1">
      <x:c r="A27" s="111" t="str">
        <x:v>Ready</x:v>
      </x:c>
      <x:c r="B27" s="111" t="str">
        <x:v>Dependencies and owner are clear; implementation can start.</x:v>
      </x:c>
      <x:c r="C27" s="111"/>
      <x:c r="D27" s="111" t="str">
        <x:v>UI Prototype</x:v>
      </x:c>
      <x:c r="E27" s="111" t="str">
        <x:v>A visual/client prototype exists without authoritative backend behavior.</x:v>
      </x:c>
      <x:c r="F27" s="111"/>
      <x:c r="G27" s="111" t="str">
        <x:v>Daily updates</x:v>
      </x:c>
      <x:c r="H27" s="111" t="str">
        <x:v>Append one Daily Log row per meaningful work session; never rewrite earlier rows.</x:v>
      </x:c>
    </x:row>
    <x:row r="28" ht="44" customHeight="1">
      <x:c r="A28" s="111" t="str">
        <x:v>In Progress</x:v>
      </x:c>
      <x:c r="B28" s="111" t="str">
        <x:v>Work is actively being implemented or verified locally.</x:v>
      </x:c>
      <x:c r="C28" s="111"/>
      <x:c r="D28" s="111" t="str">
        <x:v>Backend Implemented</x:v>
      </x:c>
      <x:c r="E28" s="111" t="str">
        <x:v>Backend or infrastructure foundation exists but may not be integrated or deployed.</x:v>
      </x:c>
      <x:c r="F28" s="111"/>
      <x:c r="G28" s="111" t="str">
        <x:v>Review rule</x:v>
      </x:c>
      <x:c r="H28" s="111" t="str">
        <x:v>Open PR or review artifact moves work to In Review; green CI alone does not mark it Done.</x:v>
      </x:c>
    </x:row>
    <x:row r="29" ht="44" customHeight="1">
      <x:c r="A29" s="111" t="str">
        <x:v>In Review</x:v>
      </x:c>
      <x:c r="B29" s="111" t="str">
        <x:v>A review artifact exists and awaits review, CI, or approval.</x:v>
      </x:c>
      <x:c r="C29" s="111"/>
      <x:c r="D29" s="111" t="str">
        <x:v>Integrated</x:v>
      </x:c>
      <x:c r="E29" s="111" t="str">
        <x:v>The defined slice is connected and regression-tested in the product/repository.</x:v>
      </x:c>
      <x:c r="F29" s="111"/>
      <x:c r="G29" s="111" t="str">
        <x:v>Done rule</x:v>
      </x:c>
      <x:c r="H29" s="111" t="str">
        <x:v>Done requires accepted evidence for the defined scope, not a production claim.</x:v>
      </x:c>
    </x:row>
    <x:row r="30" ht="44" customHeight="1">
      <x:c r="A30" s="111" t="str">
        <x:v>Blocked</x:v>
      </x:c>
      <x:c r="B30" s="111" t="str">
        <x:v>Progress requires an external decision, dependency, or authority.</x:v>
      </x:c>
      <x:c r="C30" s="111"/>
      <x:c r="D30" s="111" t="str">
        <x:v>Production-Ready</x:v>
      </x:c>
      <x:c r="E30" s="111" t="str">
        <x:v>Deployment, operations, security, legal, and recovery gates are verified.</x:v>
      </x:c>
      <x:c r="F30" s="111"/>
      <x:c r="G30" s="111" t="str">
        <x:v>Legacy preservation</x:v>
      </x:c>
      <x:c r="H30" s="111" t="str">
        <x:v>The original Master Tracker and Legacy Overview remain visible and unchanged as historical source snapshots.</x:v>
      </x:c>
    </x:row>
    <x:row r="31" ht="44" customHeight="1">
      <x:c r="A31" s="111" t="str">
        <x:v>Done</x:v>
      </x:c>
      <x:c r="B31" s="111" t="str">
        <x:v>The defined scope was accepted and verified; this does not automatically mean production-ready.</x:v>
      </x:c>
      <x:c r="C31" s="111"/>
      <x:c r="D31" s="111" t="str">
        <x:v>N/A</x:v>
      </x:c>
      <x:c r="E31" s="111" t="str">
        <x:v>Maturity does not apply to this management/reference row.</x:v>
      </x:c>
      <x:c r="F31" s="111"/>
      <x:c r="G31" s="111" t="str">
        <x:v>Expense QC</x:v>
      </x:c>
      <x:c r="H31" s="111" t="str">
        <x:v>Historical Year 1 arithmetic corrected to $2,366 on September 6, 2026; old $1,713 retained. Use Launch Budget for current planning.</x:v>
      </x:c>
    </x:row>
    <x:row r="32" ht="44" customHeight="1">
      <x:c r="A32" s="219" t="str">
        <x:v>Deferred</x:v>
      </x:c>
      <x:c r="B32" s="111" t="str">
        <x:v>Explicitly outside the current MVP sequence.</x:v>
      </x:c>
      <x:c r="C32" s="111"/>
      <x:c r="D32" s="111"/>
      <x:c r="E32" s="111"/>
      <x:c r="F32" s="111"/>
      <x:c r="G32" s="111"/>
      <x:c r="H32" s="111"/>
    </x:row>
  </x:sheetData>
  <x:mergeCells>
    <x:mergeCell ref="A1:H1"/>
    <x:mergeCell ref="A2:H2"/>
    <x:mergeCell ref="A25:H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19" hidden="0" customWidth="1"/>
    <x:col min="4" max="4" width="19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48" hidden="0" customWidth="1"/>
    <x:col min="13" max="13" width="48" hidden="0" customWidth="1"/>
    <x:col min="14" max="14" width="48" hidden="0" customWidth="1"/>
    <x:col min="15" max="15" width="40" hidden="0" customWidth="1"/>
    <x:col min="16" max="16" width="13" hidden="0" customWidth="1"/>
  </x:cols>
  <x:sheetData>
    <x:row r="1" ht="32" customHeight="1">
      <x:c r="A1" s="88" t="str">
        <x:v>🗺 Pumdoki Phase Roadmap — PLAN.md Phases 0–14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</x:row>
    <x:row r="2" ht="24" customHeight="1">
      <x:c r="A2" s="92" t="str">
        <x:v>Record progress includes preserved legacy, PLAN, gate, and supplemental records. It is a navigation aid—not phase completion; Phase State is the canonical evidence-based PLAN judgment.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</x:row>
    <x:row r="3" ht="34" customHeight="1">
      <x:c r="A3" s="98" t="str">
        <x:v>Phase ID</x:v>
      </x:c>
      <x:c r="B3" s="98" t="str">
        <x:v>PLAN Phase</x:v>
      </x:c>
      <x:c r="C3" s="98" t="str">
        <x:v>Phase State</x:v>
      </x:c>
      <x:c r="D3" s="98" t="str">
        <x:v>Maturity</x:v>
      </x:c>
      <x:c r="E3" s="98" t="str">
        <x:v>Records Done</x:v>
      </x:c>
      <x:c r="F3" s="98" t="str">
        <x:v>Execution Records</x:v>
      </x:c>
      <x:c r="G3" s="98" t="str">
        <x:v>Record Progress</x:v>
      </x:c>
      <x:c r="H3" s="98" t="str">
        <x:v>In Progress</x:v>
      </x:c>
      <x:c r="I3" s="98" t="str">
        <x:v>In Review</x:v>
      </x:c>
      <x:c r="J3" s="98" t="str">
        <x:v>Blocked</x:v>
      </x:c>
      <x:c r="K3" s="98" t="str">
        <x:v>Not Started</x:v>
      </x:c>
      <x:c r="L3" s="98" t="str">
        <x:v>Current Focus</x:v>
      </x:c>
      <x:c r="M3" s="98" t="str">
        <x:v>Next Exit Gate</x:v>
      </x:c>
      <x:c r="N3" s="98" t="str">
        <x:v>Exit Criteria Summary</x:v>
      </x:c>
      <x:c r="O3" s="98" t="str">
        <x:v>Evidence</x:v>
      </x:c>
      <x:c r="P3" s="98" t="str">
        <x:v>Updated</x:v>
      </x:c>
    </x:row>
    <x:row r="4" ht="58" customHeight="1">
      <x:c r="A4" s="109" t="str">
        <x:v>P00</x:v>
      </x:c>
      <x:c r="B4" s="109" t="str">
        <x:v>Baseline, tracker, and scope control</x:v>
      </x:c>
      <x:c r="C4" s="109" t="str">
        <x:v>Partially Complete</x:v>
      </x:c>
      <x:c r="D4" s="109" t="str">
        <x:v>Integrated</x:v>
      </x:c>
      <x:c r="E4" s="109" t="n">
        <x:f>COUNTIFS('Delivery Tracker'!$B$4:$B$400,$A4,'Delivery Tracker'!$H$4:$H$400,"Done")</x:f>
        <x:v>6</x:v>
      </x:c>
      <x:c r="F4" s="109" t="n">
        <x:f>COUNTIF('Delivery Tracker'!$B$4:$B$400,$A4)</x:f>
        <x:v>6</x:v>
      </x:c>
      <x:c r="G4" s="118" t="n">
        <x:f>IF(F4=0,0,E4/F4)</x:f>
        <x:v>1</x:v>
      </x:c>
      <x:c r="H4" s="109" t="n">
        <x:f>COUNTIFS('Delivery Tracker'!$B$4:$B$400,$A4,'Delivery Tracker'!$H$4:$H$400,"In Progress")</x:f>
        <x:v>0</x:v>
      </x:c>
      <x:c r="I4" s="109" t="n">
        <x:f>COUNTIFS('Delivery Tracker'!$B$4:$B$400,$A4,'Delivery Tracker'!$H$4:$H$400,"In Review")</x:f>
        <x:v>0</x:v>
      </x:c>
      <x:c r="J4" s="109" t="n">
        <x:f>COUNTIFS('Delivery Tracker'!$B$4:$B$400,$A4,'Delivery Tracker'!$H$4:$H$400,"Blocked")</x:f>
        <x:v>0</x:v>
      </x:c>
      <x:c r="K4" s="109" t="n">
        <x:f>COUNTIFS('Delivery Tracker'!$B$4:$B$400,$A4,'Delivery Tracker'!$H$4:$H$400,"Not Started")</x:f>
        <x:v>0</x:v>
      </x:c>
      <x:c r="L4" s="109" t="str">
        <x:v>Maintain the PLAN-aligned execution tracker, decision register, review queue, and daily debrief history.</x:v>
      </x:c>
      <x:c r="M4" s="109" t="str">
        <x:v>Assign and maintain owners and next-check dates for remaining active decisions; preserve legacy records.</x:v>
      </x:c>
      <x:c r="N4" s="109" t="str">
        <x:v>Clean baseline; tracker reflects reality; MVP approved; open decisions have an owner and date.</x:v>
      </x:c>
      <x:c r="O4" s="109" t="str">
        <x:v>https://github.com/QK-Connoisseur/PDoki/pull/13</x:v>
      </x:c>
      <x:c r="P4" s="110" t="n">
        <x:v>46255.666666666664</x:v>
      </x:c>
    </x:row>
    <x:row r="5" ht="58" customHeight="1">
      <x:c r="A5" s="111" t="str">
        <x:v>P01</x:v>
      </x:c>
      <x:c r="B5" s="111" t="str">
        <x:v>Repository and frontend foundation</x:v>
      </x:c>
      <x:c r="C5" s="111" t="str">
        <x:v>Complete</x:v>
      </x:c>
      <x:c r="D5" s="111" t="str">
        <x:v>Integrated</x:v>
      </x:c>
      <x:c r="E5" s="111" t="n">
        <x:f>COUNTIFS('Delivery Tracker'!$B$4:$B$400,$A5,'Delivery Tracker'!$H$4:$H$400,"Done")</x:f>
        <x:v>4</x:v>
      </x:c>
      <x:c r="F5" s="111" t="n">
        <x:f>COUNTIF('Delivery Tracker'!$B$4:$B$400,$A5)</x:f>
        <x:v>8</x:v>
      </x:c>
      <x:c r="G5" s="119" t="n">
        <x:f>IF(F5=0,0,E5/F5)</x:f>
        <x:v>0.5</x:v>
      </x:c>
      <x:c r="H5" s="111" t="n">
        <x:f>COUNTIFS('Delivery Tracker'!$B$4:$B$400,$A5,'Delivery Tracker'!$H$4:$H$400,"In Progress")</x:f>
        <x:v>4</x:v>
      </x:c>
      <x:c r="I5" s="111" t="n">
        <x:f>COUNTIFS('Delivery Tracker'!$B$4:$B$400,$A5,'Delivery Tracker'!$H$4:$H$400,"In Review")</x:f>
        <x:v>0</x:v>
      </x:c>
      <x:c r="J5" s="111" t="n">
        <x:f>COUNTIFS('Delivery Tracker'!$B$4:$B$400,$A5,'Delivery Tracker'!$H$4:$H$400,"Blocked")</x:f>
        <x:v>0</x:v>
      </x:c>
      <x:c r="K5" s="111" t="n">
        <x:f>COUNTIFS('Delivery Tracker'!$B$4:$B$400,$A5,'Delivery Tracker'!$H$4:$H$400,"Not Started")</x:f>
        <x:v>0</x:v>
      </x:c>
      <x:c r="L5" s="111" t="str">
        <x:v>Maintain routing, shared shell, fixtures, CI, error states, and code splitting.</x:v>
      </x:c>
      <x:c r="M5" s="111" t="str">
        <x:v>No active gate; preserve regression coverage as product phases integrate real data.</x:v>
      </x:c>
      <x:c r="N5" s="111" t="str">
        <x:v>Workspace builds; routes and browser navigation work; CI validates lint, tests, builds, and E2E.</x:v>
      </x:c>
      <x:c r="O5" s="111" t="str">
        <x:v>https://github.com/QK-Connoisseur/PDoki/pull/2</x:v>
      </x:c>
      <x:c r="P5" s="112" t="n">
        <x:v>46255.666666666664</x:v>
      </x:c>
    </x:row>
    <x:row r="6" ht="58" customHeight="1">
      <x:c r="A6" s="111" t="str">
        <x:v>P02</x:v>
      </x:c>
      <x:c r="B6" s="111" t="str">
        <x:v>Backend and database foundation</x:v>
      </x:c>
      <x:c r="C6" s="111" t="str">
        <x:v>Partially Complete</x:v>
      </x:c>
      <x:c r="D6" s="111" t="str">
        <x:v>Backend Implemented</x:v>
      </x:c>
      <x:c r="E6" s="111" t="n">
        <x:f>COUNTIFS('Delivery Tracker'!$B$4:$B$400,$A6,'Delivery Tracker'!$H$4:$H$400,"Done")</x:f>
        <x:v>4</x:v>
      </x:c>
      <x:c r="F6" s="111" t="n">
        <x:f>COUNTIF('Delivery Tracker'!$B$4:$B$400,$A6)</x:f>
        <x:v>16</x:v>
      </x:c>
      <x:c r="G6" s="119" t="n">
        <x:f>IF(F6=0,0,E6/F6)</x:f>
        <x:v>0.25</x:v>
      </x:c>
      <x:c r="H6" s="111" t="n">
        <x:f>COUNTIFS('Delivery Tracker'!$B$4:$B$400,$A6,'Delivery Tracker'!$H$4:$H$400,"In Progress")</x:f>
        <x:v>7</x:v>
      </x:c>
      <x:c r="I6" s="111" t="n">
        <x:f>COUNTIFS('Delivery Tracker'!$B$4:$B$400,$A6,'Delivery Tracker'!$H$4:$H$400,"In Review")</x:f>
        <x:v>0</x:v>
      </x:c>
      <x:c r="J6" s="111" t="n">
        <x:f>COUNTIFS('Delivery Tracker'!$B$4:$B$400,$A6,'Delivery Tracker'!$H$4:$H$400,"Blocked")</x:f>
        <x:v>0</x:v>
      </x:c>
      <x:c r="K6" s="111" t="n">
        <x:f>COUNTIFS('Delivery Tracker'!$B$4:$B$400,$A6,'Delivery Tracker'!$H$4:$H$400,"Not Started")</x:f>
        <x:v>5</x:v>
      </x:c>
      <x:c r="L6" s="111" t="str">
        <x:v>PR #13 published the application-owned PostgreSQL worker foundation and fixed non-secret canary; no product flow uses it.</x:v>
      </x:c>
      <x:c r="M6" s="111" t="str">
        <x:v>Keep Phase 2 partial: staging, restore/backups, monitoring, Redis/shared throttling, general idempotency, and deployment remain open.</x:v>
      </x:c>
      <x:c r="N6" s="111" t="str">
        <x:v>HTTPS staging; repeatable migrations; backup restoration; monitoring; durable worker foundation reviewed.</x:v>
      </x:c>
      <x:c r="O6" s="111" t="str">
        <x:v>https://github.com/QK-Connoisseur/PDoki/pull/13</x:v>
      </x:c>
      <x:c r="P6" s="112" t="n">
        <x:v>46255.666666666664</x:v>
      </x:c>
    </x:row>
    <x:row r="7" ht="58" customHeight="1">
      <x:c r="A7" s="111" t="str">
        <x:v>P03</x:v>
      </x:c>
      <x:c r="B7" s="111" t="str">
        <x:v>Authentication, roles, and settings</x:v>
      </x:c>
      <x:c r="C7" s="111" t="str">
        <x:v>Complete</x:v>
      </x:c>
      <x:c r="D7" s="111" t="str">
        <x:v>Integrated</x:v>
      </x:c>
      <x:c r="E7" s="111" t="n">
        <x:f>COUNTIFS('Delivery Tracker'!$B$4:$B$400,$A7,'Delivery Tracker'!$H$4:$H$400,"Done")</x:f>
        <x:v>6</x:v>
      </x:c>
      <x:c r="F7" s="111" t="n">
        <x:f>COUNTIF('Delivery Tracker'!$B$4:$B$400,$A7)</x:f>
        <x:v>8</x:v>
      </x:c>
      <x:c r="G7" s="119" t="n">
        <x:f>IF(F7=0,0,E7/F7)</x:f>
        <x:v>0.75</x:v>
      </x:c>
      <x:c r="H7" s="111" t="n">
        <x:f>COUNTIFS('Delivery Tracker'!$B$4:$B$400,$A7,'Delivery Tracker'!$H$4:$H$400,"In Progress")</x:f>
        <x:v>2</x:v>
      </x:c>
      <x:c r="I7" s="111" t="n">
        <x:f>COUNTIFS('Delivery Tracker'!$B$4:$B$400,$A7,'Delivery Tracker'!$H$4:$H$400,"In Review")</x:f>
        <x:v>0</x:v>
      </x:c>
      <x:c r="J7" s="111" t="n">
        <x:f>COUNTIFS('Delivery Tracker'!$B$4:$B$400,$A7,'Delivery Tracker'!$H$4:$H$400,"Blocked")</x:f>
        <x:v>0</x:v>
      </x:c>
      <x:c r="K7" s="111" t="n">
        <x:f>COUNTIFS('Delivery Tracker'!$B$4:$B$400,$A7,'Delivery Tracker'!$H$4:$H$400,"Not Started")</x:f>
        <x:v>0</x:v>
      </x:c>
      <x:c r="L7" s="111" t="str">
        <x:v>Maintain the founder-approved reduced core auth/account-security scope.</x:v>
      </x:c>
      <x:c r="M7" s="111" t="str">
        <x:v>Later Settings domains move only with their dependency phases.</x:v>
      </x:c>
      <x:c r="N7" s="111" t="str">
        <x:v>Persistent auth; protected routes; API permissions; explicit-content preference persists safely.</x:v>
      </x:c>
      <x:c r="O7" s="111" t="str">
        <x:v>https://github.com/QK-Connoisseur/PDoki/blob/dev/PLAN.md#7-phase-3--authentication-roles-and-settings</x:v>
      </x:c>
      <x:c r="P7" s="112" t="n">
        <x:v>46255.666666666664</x:v>
      </x:c>
    </x:row>
    <x:row r="8" ht="58" customHeight="1">
      <x:c r="A8" s="111" t="str">
        <x:v>P04</x:v>
      </x:c>
      <x:c r="B8" s="111" t="str">
        <x:v>Legal, trust, and creator onboarding</x:v>
      </x:c>
      <x:c r="C8" s="111" t="str">
        <x:v>Partially Complete</x:v>
      </x:c>
      <x:c r="D8" s="111" t="str">
        <x:v>Backend Implemented</x:v>
      </x:c>
      <x:c r="E8" s="111" t="n">
        <x:f>COUNTIFS('Delivery Tracker'!$B$4:$B$400,$A8,'Delivery Tracker'!$H$4:$H$400,"Done")</x:f>
        <x:v>5</x:v>
      </x:c>
      <x:c r="F8" s="111" t="n">
        <x:f>COUNTIF('Delivery Tracker'!$B$4:$B$400,$A8)</x:f>
        <x:v>35</x:v>
      </x:c>
      <x:c r="G8" s="119" t="n">
        <x:f>IF(F8=0,0,E8/F8)</x:f>
        <x:v>0.14285714285714285</x:v>
      </x:c>
      <x:c r="H8" s="111" t="n">
        <x:f>COUNTIFS('Delivery Tracker'!$B$4:$B$400,$A8,'Delivery Tracker'!$H$4:$H$400,"In Progress")</x:f>
        <x:v>18</x:v>
      </x:c>
      <x:c r="I8" s="111" t="n">
        <x:f>COUNTIFS('Delivery Tracker'!$B$4:$B$400,$A8,'Delivery Tracker'!$H$4:$H$400,"In Review")</x:f>
        <x:v>0</x:v>
      </x:c>
      <x:c r="J8" s="111" t="n">
        <x:f>COUNTIFS('Delivery Tracker'!$B$4:$B$400,$A8,'Delivery Tracker'!$H$4:$H$400,"Blocked")</x:f>
        <x:v>0</x:v>
      </x:c>
      <x:c r="K8" s="111" t="n">
        <x:f>COUNTIFS('Delivery Tracker'!$B$4:$B$400,$A8,'Delivery Tracker'!$H$4:$H$400,"Not Started")</x:f>
        <x:v>12</x:v>
      </x:c>
      <x:c r="L8" s="111" t="str">
        <x:v>Slices 1–4 published; operations dormant. Maryland approval pending. Initial CCBill reply retained; proposed follow-up cancelled. Founder/provider work now accompanies each functional code slice.</x:v>
      </x:c>
      <x:c r="M8" s="111" t="str">
        <x:v>Resolve business/legal/provider prerequisites in sequence. G1–G12 apply to operations activation, not all synthetic local product work.</x:v>
      </x:c>
      <x:c r="N8" s="111" t="str">
        <x:v>Counsel-approved policies; secure identity/evidence; publishing blocked until approval; reports are auditable.</x:v>
      </x:c>
      <x:c r="O8" s="111" t="str">
        <x:v>https://github.com/QK-Connoisseur/PDoki/pull/15</x:v>
      </x:c>
      <x:c r="P8" s="112" t="n">
        <x:v>46271.666666666664</x:v>
      </x:c>
    </x:row>
    <x:row r="9" ht="58" customHeight="1">
      <x:c r="A9" s="111" t="str">
        <x:v>P05</x:v>
      </x:c>
      <x:c r="B9" s="111" t="str">
        <x:v>Media pipeline and content model</x:v>
      </x:c>
      <x:c r="C9" s="111" t="str">
        <x:v>Partially Complete</x:v>
      </x:c>
      <x:c r="D9" s="111" t="str">
        <x:v>Backend Implemented</x:v>
      </x:c>
      <x:c r="E9" s="111" t="n">
        <x:f>COUNTIFS('Delivery Tracker'!$B$4:$B$400,$A9,'Delivery Tracker'!$H$4:$H$400,"Done")</x:f>
        <x:v>1</x:v>
      </x:c>
      <x:c r="F9" s="111" t="n">
        <x:f>COUNTIF('Delivery Tracker'!$B$4:$B$400,$A9)</x:f>
        <x:v>10</x:v>
      </x:c>
      <x:c r="G9" s="119" t="n">
        <x:f>IF(F9=0,0,E9/F9)</x:f>
        <x:v>0.1</x:v>
      </x:c>
      <x:c r="H9" s="111" t="n">
        <x:f>COUNTIFS('Delivery Tracker'!$B$4:$B$400,$A9,'Delivery Tracker'!$H$4:$H$400,"In Progress")</x:f>
        <x:v>4</x:v>
      </x:c>
      <x:c r="I9" s="111" t="n">
        <x:f>COUNTIFS('Delivery Tracker'!$B$4:$B$400,$A9,'Delivery Tracker'!$H$4:$H$400,"In Review")</x:f>
        <x:v>2</x:v>
      </x:c>
      <x:c r="J9" s="111" t="n">
        <x:f>COUNTIFS('Delivery Tracker'!$B$4:$B$400,$A9,'Delivery Tracker'!$H$4:$H$400,"Blocked")</x:f>
        <x:v>0</x:v>
      </x:c>
      <x:c r="K9" s="111" t="n">
        <x:f>COUNTIFS('Delivery Tracker'!$B$4:$B$400,$A9,'Delivery Tracker'!$H$4:$H$400,"Not Started")</x:f>
        <x:v>3</x:v>
      </x:c>
      <x:c r="L9" s="111" t="str">
        <x:v>Safe photo/video flow now uses private R2 storage. Cloud upload/read, private drafts, publish/feed, ranges, restart persistence and removal are verified. Test accounts only. Hosted review deployment and production media controls remain open.</x:v>
      </x:c>
      <x:c r="M9" s="111" t="str">
        <x:v>Founder reviews the working local R2 upload/publish flow for this slice. No new signup, paperwork or payment task. Real identity, adult uploads and payments remain disabled. Full P05 exit, deployment and processor approval remain open.</x:v>
      </x:c>
      <x:c r="N9" s="111" t="str">
        <x:v>Approved creators publish; unauthorized users cannot access originals; takedowns invalidate delivery.</x:v>
      </x:c>
      <x:c r="O9" s="111" t="str">
        <x:v>HANDOFF.md</x:v>
      </x:c>
      <x:c r="P9" s="112" t="n">
        <x:v>46274.666666666664</x:v>
      </x:c>
    </x:row>
    <x:row r="10" ht="58" customHeight="1">
      <x:c r="A10" s="111" t="str">
        <x:v>P06</x:v>
      </x:c>
      <x:c r="B10" s="111" t="str">
        <x:v>Payments, subscriptions, tipping, and PPV</x:v>
      </x:c>
      <x:c r="C10" s="111" t="str">
        <x:v>Partially Complete</x:v>
      </x:c>
      <x:c r="D10" s="111" t="str">
        <x:v>UI Prototype</x:v>
      </x:c>
      <x:c r="E10" s="111" t="n">
        <x:f>COUNTIFS('Delivery Tracker'!$B$4:$B$400,$A10,'Delivery Tracker'!$H$4:$H$400,"Done")</x:f>
        <x:v>0</x:v>
      </x:c>
      <x:c r="F10" s="111" t="n">
        <x:f>COUNTIF('Delivery Tracker'!$B$4:$B$400,$A10)</x:f>
        <x:v>16</x:v>
      </x:c>
      <x:c r="G10" s="119" t="n">
        <x:f>IF(F10=0,0,E10/F10)</x:f>
        <x:v>0</x:v>
      </x:c>
      <x:c r="H10" s="111" t="n">
        <x:f>COUNTIFS('Delivery Tracker'!$B$4:$B$400,$A10,'Delivery Tracker'!$H$4:$H$400,"In Progress")</x:f>
        <x:v>3</x:v>
      </x:c>
      <x:c r="I10" s="111" t="n">
        <x:f>COUNTIFS('Delivery Tracker'!$B$4:$B$400,$A10,'Delivery Tracker'!$H$4:$H$400,"In Review")</x:f>
        <x:v>0</x:v>
      </x:c>
      <x:c r="J10" s="111" t="n">
        <x:f>COUNTIFS('Delivery Tracker'!$B$4:$B$400,$A10,'Delivery Tracker'!$H$4:$H$400,"Blocked")</x:f>
        <x:v>0</x:v>
      </x:c>
      <x:c r="K10" s="111" t="n">
        <x:f>COUNTIFS('Delivery Tracker'!$B$4:$B$400,$A10,'Delivery Tracker'!$H$4:$H$400,"Not Started")</x:f>
        <x:v>13</x:v>
      </x:c>
      <x:c r="L10" s="111" t="str">
        <x:v>Provider/site preparation is in progress: CCBill Sales replied, safe-content/R2 milestone is verified and policy drafting is commissioned. Payment backend, webhooks and paid entitlements have not started.</x:v>
      </x:c>
      <x:c r="M10" s="111" t="str">
        <x:v>Continue functioning-site slices; password protection is permitted for later review. Founder reviews the current local flow. Return to CCBill when review-ready; define the supported payment method before integration.</x:v>
      </x:c>
      <x:c r="N10" s="111" t="str">
        <x:v>For paid beta flows: trusted payment events, entitlements, earnings, refunds and chargebacks reconcile.</x:v>
      </x:c>
      <x:c r="O10" s="111" t="str">
        <x:v>https://github.com/QK-Connoisseur/PDoki/blob/dev/PLAN.md</x:v>
      </x:c>
      <x:c r="P10" s="112" t="n">
        <x:v>46275.666666666664</x:v>
      </x:c>
    </x:row>
    <x:row r="11" ht="58" customHeight="1">
      <x:c r="A11" s="111" t="str">
        <x:v>P07</x:v>
      </x:c>
      <x:c r="B11" s="111" t="str">
        <x:v>Core end-to-end vertical slice</x:v>
      </x:c>
      <x:c r="C11" s="111" t="str">
        <x:v>Blocked</x:v>
      </x:c>
      <x:c r="D11" s="111" t="str">
        <x:v>N/A</x:v>
      </x:c>
      <x:c r="E11" s="111" t="n">
        <x:f>COUNTIFS('Delivery Tracker'!$B$4:$B$400,$A11,'Delivery Tracker'!$H$4:$H$400,"Done")</x:f>
        <x:v>0</x:v>
      </x:c>
      <x:c r="F11" s="111" t="n">
        <x:f>COUNTIF('Delivery Tracker'!$B$4:$B$400,$A11)</x:f>
        <x:v>1</x:v>
      </x:c>
      <x:c r="G11" s="119" t="n">
        <x:f>IF(F11=0,0,E11/F11)</x:f>
        <x:v>0</x:v>
      </x:c>
      <x:c r="H11" s="111" t="n">
        <x:f>COUNTIFS('Delivery Tracker'!$B$4:$B$400,$A11,'Delivery Tracker'!$H$4:$H$400,"In Progress")</x:f>
        <x:v>0</x:v>
      </x:c>
      <x:c r="I11" s="111" t="n">
        <x:f>COUNTIFS('Delivery Tracker'!$B$4:$B$400,$A11,'Delivery Tracker'!$H$4:$H$400,"In Review")</x:f>
        <x:v>0</x:v>
      </x:c>
      <x:c r="J11" s="111" t="n">
        <x:f>COUNTIFS('Delivery Tracker'!$B$4:$B$400,$A11,'Delivery Tracker'!$H$4:$H$400,"Blocked")</x:f>
        <x:v>1</x:v>
      </x:c>
      <x:c r="K11" s="111" t="n">
        <x:f>COUNTIFS('Delivery Tracker'!$B$4:$B$400,$A11,'Delivery Tracker'!$H$4:$H$400,"Not Started")</x:f>
        <x:v>0</x:v>
      </x:c>
      <x:c r="L11" s="111" t="str">
        <x:v>Core journey still needs creator, content/access and operations controls. Apply payment dependencies to the chosen beta method.</x:v>
      </x:c>
      <x:c r="M11" s="111" t="str">
        <x:v>Continue safe test flows. Define the beta payment model with its slice; any paid flow requires processor confirmation, entitlements, auditable earnings and reconciliation.</x:v>
      </x:c>
      <x:c r="N11" s="111" t="str">
        <x:v>Agreed beta journey passes automated tests without manual DB edits. Paid flows satisfy payment, access and audit controls.</x:v>
      </x:c>
      <x:c r="O11" s="111" t="str">
        <x:v>https://github.com/QK-Connoisseur/PDoki/blob/dev/PLAN.md#11-phase-7--core-end-to-end-vertical-slice</x:v>
      </x:c>
      <x:c r="P11" s="112" t="n">
        <x:v>46274.666666666664</x:v>
      </x:c>
    </x:row>
    <x:row r="12" ht="58" customHeight="1">
      <x:c r="A12" s="111" t="str">
        <x:v>P08</x:v>
      </x:c>
      <x:c r="B12" s="111" t="str">
        <x:v>Feed, social actions, Store, and Connect</x:v>
      </x:c>
      <x:c r="C12" s="111" t="str">
        <x:v>Partially Complete</x:v>
      </x:c>
      <x:c r="D12" s="111" t="str">
        <x:v>UI Prototype</x:v>
      </x:c>
      <x:c r="E12" s="111" t="n">
        <x:f>COUNTIFS('Delivery Tracker'!$B$4:$B$400,$A12,'Delivery Tracker'!$H$4:$H$400,"Done")</x:f>
        <x:v>4</x:v>
      </x:c>
      <x:c r="F12" s="111" t="n">
        <x:f>COUNTIF('Delivery Tracker'!$B$4:$B$400,$A12)</x:f>
        <x:v>10</x:v>
      </x:c>
      <x:c r="G12" s="119" t="n">
        <x:f>IF(F12=0,0,E12/F12)</x:f>
        <x:v>0.4</x:v>
      </x:c>
      <x:c r="H12" s="111" t="n">
        <x:f>COUNTIFS('Delivery Tracker'!$B$4:$B$400,$A12,'Delivery Tracker'!$H$4:$H$400,"In Progress")</x:f>
        <x:v>6</x:v>
      </x:c>
      <x:c r="I12" s="111" t="n">
        <x:f>COUNTIFS('Delivery Tracker'!$B$4:$B$400,$A12,'Delivery Tracker'!$H$4:$H$400,"In Review")</x:f>
        <x:v>0</x:v>
      </x:c>
      <x:c r="J12" s="111" t="n">
        <x:f>COUNTIFS('Delivery Tracker'!$B$4:$B$400,$A12,'Delivery Tracker'!$H$4:$H$400,"Blocked")</x:f>
        <x:v>0</x:v>
      </x:c>
      <x:c r="K12" s="111" t="n">
        <x:f>COUNTIFS('Delivery Tracker'!$B$4:$B$400,$A12,'Delivery Tracker'!$H$4:$H$400,"Not Started")</x:f>
        <x:v>0</x:v>
      </x:c>
      <x:c r="L12" s="111" t="str">
        <x:v>Feed, Store and Connect remain launch scope (online/price/language discovery). Your Activity /activity UI is an explicit example-data preview; real member history remains pending.</x:v>
      </x:c>
      <x:c r="M12" s="111" t="str">
        <x:v>Integrate content/access, service/order and beta payment rules. Connect Your Activity to authenticated P05/P06/P07 data.</x:v>
      </x:c>
      <x:c r="N12" s="111" t="str">
        <x:v>Feed actions persist; Store and Your Activity use real account data; creator discovery filters work. Service/order/payment rules separately defined.</x:v>
      </x:c>
      <x:c r="O12" s="111" t="str">
        <x:v>https://github.com/QK-Connoisseur/PDoki/blob/dev/PLAN.md#12-phase-8--feed-social-actions-store-and-connect</x:v>
      </x:c>
      <x:c r="P12" s="112" t="n">
        <x:v>46275.666666666664</x:v>
      </x:c>
    </x:row>
    <x:row r="13" ht="58" customHeight="1">
      <x:c r="A13" s="111" t="str">
        <x:v>P09</x:v>
      </x:c>
      <x:c r="B13" s="111" t="str">
        <x:v>Real-time messaging and notifications</x:v>
      </x:c>
      <x:c r="C13" s="111" t="str">
        <x:v>Partially Complete</x:v>
      </x:c>
      <x:c r="D13" s="111" t="str">
        <x:v>UI Prototype</x:v>
      </x:c>
      <x:c r="E13" s="111" t="n">
        <x:f>COUNTIFS('Delivery Tracker'!$B$4:$B$400,$A13,'Delivery Tracker'!$H$4:$H$400,"Done")</x:f>
        <x:v>1</x:v>
      </x:c>
      <x:c r="F13" s="111" t="n">
        <x:f>COUNTIF('Delivery Tracker'!$B$4:$B$400,$A13)</x:f>
        <x:v>4</x:v>
      </x:c>
      <x:c r="G13" s="119" t="n">
        <x:f>IF(F13=0,0,E13/F13)</x:f>
        <x:v>0.25</x:v>
      </x:c>
      <x:c r="H13" s="111" t="n">
        <x:f>COUNTIFS('Delivery Tracker'!$B$4:$B$400,$A13,'Delivery Tracker'!$H$4:$H$400,"In Progress")</x:f>
        <x:v>2</x:v>
      </x:c>
      <x:c r="I13" s="111" t="n">
        <x:f>COUNTIFS('Delivery Tracker'!$B$4:$B$400,$A13,'Delivery Tracker'!$H$4:$H$400,"In Review")</x:f>
        <x:v>0</x:v>
      </x:c>
      <x:c r="J13" s="111" t="n">
        <x:f>COUNTIFS('Delivery Tracker'!$B$4:$B$400,$A13,'Delivery Tracker'!$H$4:$H$400,"Blocked")</x:f>
        <x:v>0</x:v>
      </x:c>
      <x:c r="K13" s="111" t="n">
        <x:f>COUNTIFS('Delivery Tracker'!$B$4:$B$400,$A13,'Delivery Tracker'!$H$4:$H$400,"Not Started")</x:f>
        <x:v>1</x:v>
      </x:c>
      <x:c r="L13" s="111" t="str">
        <x:v>Real-time direct chat remains required at launch. Prototype bell/activities do not establish persisted product notifications.</x:v>
      </x:c>
      <x:c r="M13" s="111" t="str">
        <x:v>Approve conversation/message persistence and WebSocket authorization design.</x:v>
      </x:c>
      <x:c r="N13" s="111" t="str">
        <x:v>Messages survive reconnect; conversation access is authorized; notifications persist and mark read.</x:v>
      </x:c>
      <x:c r="O13" s="111" t="str">
        <x:v>https://github.com/QK-Connoisseur/PDoki/blob/dev/PLAN.md#13-phase-9--real-time-messaging-and-notifications</x:v>
      </x:c>
      <x:c r="P13" s="112" t="n">
        <x:v>46271.666666666664</x:v>
      </x:c>
    </x:row>
    <x:row r="14" ht="58" customHeight="1">
      <x:c r="A14" s="111" t="str">
        <x:v>P10</x:v>
      </x:c>
      <x:c r="B14" s="111" t="str">
        <x:v>Creator dashboard</x:v>
      </x:c>
      <x:c r="C14" s="111" t="str">
        <x:v>Partially Complete</x:v>
      </x:c>
      <x:c r="D14" s="111" t="str">
        <x:v>UI Prototype</x:v>
      </x:c>
      <x:c r="E14" s="111" t="n">
        <x:f>COUNTIFS('Delivery Tracker'!$B$4:$B$400,$A14,'Delivery Tracker'!$H$4:$H$400,"Done")</x:f>
        <x:v>0</x:v>
      </x:c>
      <x:c r="F14" s="111" t="n">
        <x:f>COUNTIF('Delivery Tracker'!$B$4:$B$400,$A14)</x:f>
        <x:v>1</x:v>
      </x:c>
      <x:c r="G14" s="119" t="n">
        <x:f>IF(F14=0,0,E14/F14)</x:f>
        <x:v>0</x:v>
      </x:c>
      <x:c r="H14" s="111" t="n">
        <x:f>COUNTIFS('Delivery Tracker'!$B$4:$B$400,$A14,'Delivery Tracker'!$H$4:$H$400,"In Progress")</x:f>
        <x:v>1</x:v>
      </x:c>
      <x:c r="I14" s="111" t="n">
        <x:f>COUNTIFS('Delivery Tracker'!$B$4:$B$400,$A14,'Delivery Tracker'!$H$4:$H$400,"In Review")</x:f>
        <x:v>0</x:v>
      </x:c>
      <x:c r="J14" s="111" t="n">
        <x:f>COUNTIFS('Delivery Tracker'!$B$4:$B$400,$A14,'Delivery Tracker'!$H$4:$H$400,"Blocked")</x:f>
        <x:v>0</x:v>
      </x:c>
      <x:c r="K14" s="111" t="n">
        <x:f>COUNTIFS('Delivery Tracker'!$B$4:$B$400,$A14,'Delivery Tracker'!$H$4:$H$400,"Not Started")</x:f>
        <x:v>0</x:v>
      </x:c>
      <x:c r="L14" s="111" t="str">
        <x:v>Large UI prototype exists; backend data, actions, and financial reconciliation are absent.</x:v>
      </x:c>
      <x:c r="M14" s="111" t="str">
        <x:v>Connect dashboard modules only after their source domains are implemented.</x:v>
      </x:c>
      <x:c r="N14" s="111" t="str">
        <x:v>Figures use real data; launch actions work; financial totals reconcile.</x:v>
      </x:c>
      <x:c r="O14" s="111" t="str">
        <x:v>https://github.com/QK-Connoisseur/PDoki/blob/dev/PLAN.md#14-phase-10--creator-dashboard</x:v>
      </x:c>
      <x:c r="P14" s="112" t="n">
        <x:v>46255.666666666664</x:v>
      </x:c>
    </x:row>
    <x:row r="15" ht="58" customHeight="1">
      <x:c r="A15" s="111" t="str">
        <x:v>P11</x:v>
      </x:c>
      <x:c r="B15" s="111" t="str">
        <x:v>Admin and moderation</x:v>
      </x:c>
      <x:c r="C15" s="111" t="str">
        <x:v>Blocked</x:v>
      </x:c>
      <x:c r="D15" s="111" t="str">
        <x:v>Backend Implemented</x:v>
      </x:c>
      <x:c r="E15" s="111" t="n">
        <x:f>COUNTIFS('Delivery Tracker'!$B$4:$B$400,$A15,'Delivery Tracker'!$H$4:$H$400,"Done")</x:f>
        <x:v>0</x:v>
      </x:c>
      <x:c r="F15" s="111" t="n">
        <x:f>COUNTIF('Delivery Tracker'!$B$4:$B$400,$A15)</x:f>
        <x:v>14</x:v>
      </x:c>
      <x:c r="G15" s="119" t="n">
        <x:f>IF(F15=0,0,E15/F15)</x:f>
        <x:v>0</x:v>
      </x:c>
      <x:c r="H15" s="111" t="n">
        <x:f>COUNTIFS('Delivery Tracker'!$B$4:$B$400,$A15,'Delivery Tracker'!$H$4:$H$400,"In Progress")</x:f>
        <x:v>2</x:v>
      </x:c>
      <x:c r="I15" s="111" t="n">
        <x:f>COUNTIFS('Delivery Tracker'!$B$4:$B$400,$A15,'Delivery Tracker'!$H$4:$H$400,"In Review")</x:f>
        <x:v>0</x:v>
      </x:c>
      <x:c r="J15" s="111" t="n">
        <x:f>COUNTIFS('Delivery Tracker'!$B$4:$B$400,$A15,'Delivery Tracker'!$H$4:$H$400,"Blocked")</x:f>
        <x:v>0</x:v>
      </x:c>
      <x:c r="K15" s="111" t="n">
        <x:f>COUNTIFS('Delivery Tracker'!$B$4:$B$400,$A15,'Delivery Tracker'!$H$4:$H$400,"Not Started")</x:f>
        <x:v>12</x:v>
      </x:c>
      <x:c r="L15" s="111" t="str">
        <x:v>Dormant operations source remains parked. The next planned P05 test-content flow pairs storage decisions with implementation. No deployment, live payment or identity activation is implied.</x:v>
      </x:c>
      <x:c r="M15" s="111" t="str">
        <x:v>Evaluate provider, restricted hosting, MFA/recovery, session, permission, audit and deployment controls when activating real operations.</x:v>
      </x:c>
      <x:c r="N15" s="111" t="str">
        <x:v>Founder operates without DB access; reports/payments/verification are manageable; sensitive access is audited.</x:v>
      </x:c>
      <x:c r="O15" s="111" t="str">
        <x:v>https://github.com/QK-Connoisseur/PDoki/pull/15</x:v>
      </x:c>
      <x:c r="P15" s="112" t="n">
        <x:v>46271.666666666664</x:v>
      </x:c>
    </x:row>
    <x:row r="16" ht="58" customHeight="1">
      <x:c r="A16" s="111" t="str">
        <x:v>P12</x:v>
      </x:c>
      <x:c r="B16" s="111" t="str">
        <x:v>Oasis replacement concept (post-launch)</x:v>
      </x:c>
      <x:c r="C16" s="111" t="str">
        <x:v>Deferred</x:v>
      </x:c>
      <x:c r="D16" s="111" t="str">
        <x:v>UI Prototype</x:v>
      </x:c>
      <x:c r="E16" s="111" t="n">
        <x:f>COUNTIFS('Delivery Tracker'!$B$4:$B$400,$A16,'Delivery Tracker'!$H$4:$H$400,"Done")</x:f>
        <x:v>0</x:v>
      </x:c>
      <x:c r="F16" s="111" t="n">
        <x:f>COUNTIF('Delivery Tracker'!$B$4:$B$400,$A16)</x:f>
        <x:v>2</x:v>
      </x:c>
      <x:c r="G16" s="119" t="n">
        <x:f>IF(F16=0,0,E16/F16)</x:f>
        <x:v>0</x:v>
      </x:c>
      <x:c r="H16" s="111" t="n">
        <x:f>COUNTIFS('Delivery Tracker'!$B$4:$B$400,$A16,'Delivery Tracker'!$H$4:$H$400,"In Progress")</x:f>
        <x:v>0</x:v>
      </x:c>
      <x:c r="I16" s="111" t="n">
        <x:f>COUNTIFS('Delivery Tracker'!$B$4:$B$400,$A16,'Delivery Tracker'!$H$4:$H$400,"In Review")</x:f>
        <x:v>0</x:v>
      </x:c>
      <x:c r="J16" s="111" t="n">
        <x:f>COUNTIFS('Delivery Tracker'!$B$4:$B$400,$A16,'Delivery Tracker'!$H$4:$H$400,"Blocked")</x:f>
        <x:v>0</x:v>
      </x:c>
      <x:c r="K16" s="111" t="n">
        <x:f>COUNTIFS('Delivery Tracker'!$B$4:$B$400,$A16,'Delivery Tracker'!$H$4:$H$400,"Not Started")</x:f>
        <x:v>0</x:v>
      </x:c>
      <x:c r="L16" s="111" t="str">
        <x:v>Old Oasis/Drimy game CANCELLED on September 6, 2026. Name may be reused for day/friend streaks and playful adult language learning.</x:v>
      </x:c>
      <x:c r="M16" s="111" t="str">
        <x:v>No launch gate. Define the replacement after launch; opt-in roasting and language concept remain unimplemented.</x:v>
      </x:c>
      <x:c r="N16" s="111" t="str">
        <x:v>Old game exit criteria superseded. Future concept requires its own approved scope.</x:v>
      </x:c>
      <x:c r="O16" s="111" t="str">
        <x:v>https://github.com/QK-Connoisseur/PDoki/blob/dev/PLAN.md</x:v>
      </x:c>
      <x:c r="P16" s="112" t="n">
        <x:v>46271.666666666664</x:v>
      </x:c>
    </x:row>
    <x:row r="17" ht="58" customHeight="1">
      <x:c r="A17" s="111" t="str">
        <x:v>P13</x:v>
      </x:c>
      <x:c r="B17" s="111" t="str">
        <x:v>Internationalization and accessibility</x:v>
      </x:c>
      <x:c r="C17" s="111" t="str">
        <x:v>Partially Complete</x:v>
      </x:c>
      <x:c r="D17" s="111" t="str">
        <x:v>UI Prototype</x:v>
      </x:c>
      <x:c r="E17" s="111" t="n">
        <x:f>COUNTIFS('Delivery Tracker'!$B$4:$B$400,$A17,'Delivery Tracker'!$H$4:$H$400,"Done")</x:f>
        <x:v>0</x:v>
      </x:c>
      <x:c r="F17" s="111" t="n">
        <x:f>COUNTIF('Delivery Tracker'!$B$4:$B$400,$A17)</x:f>
        <x:v>2</x:v>
      </x:c>
      <x:c r="G17" s="119" t="n">
        <x:f>IF(F17=0,0,E17/F17)</x:f>
        <x:v>0</x:v>
      </x:c>
      <x:c r="H17" s="111" t="n">
        <x:f>COUNTIFS('Delivery Tracker'!$B$4:$B$400,$A17,'Delivery Tracker'!$H$4:$H$400,"In Progress")</x:f>
        <x:v>1</x:v>
      </x:c>
      <x:c r="I17" s="111" t="n">
        <x:f>COUNTIFS('Delivery Tracker'!$B$4:$B$400,$A17,'Delivery Tracker'!$H$4:$H$400,"In Review")</x:f>
        <x:v>0</x:v>
      </x:c>
      <x:c r="J17" s="111" t="n">
        <x:f>COUNTIFS('Delivery Tracker'!$B$4:$B$400,$A17,'Delivery Tracker'!$H$4:$H$400,"Blocked")</x:f>
        <x:v>0</x:v>
      </x:c>
      <x:c r="K17" s="111" t="n">
        <x:f>COUNTIFS('Delivery Tracker'!$B$4:$B$400,$A17,'Delivery Tracker'!$H$4:$H$400,"Not Started")</x:f>
        <x:v>1</x:v>
      </x:c>
      <x:c r="L17" s="111" t="str">
        <x:v>Scattered responsive/accessibility work exists; bilingual core flows and a formal audit remain open.</x:v>
      </x:c>
      <x:c r="M17" s="111" t="str">
        <x:v>Extract UI copy and scope English/Spanish plus keyboard, focus, contrast, screen-reader, and reduced-motion work.</x:v>
      </x:c>
      <x:c r="N17" s="111" t="str">
        <x:v>Core flows work in English/Spanish; accessibility audit has no critical failures.</x:v>
      </x:c>
      <x:c r="O17" s="111" t="str">
        <x:v>https://github.com/QK-Connoisseur/PDoki/blob/dev/PLAN.md#17-phase-13--internationalization-and-accessibility</x:v>
      </x:c>
      <x:c r="P17" s="112" t="n">
        <x:v>46255.666666666664</x:v>
      </x:c>
    </x:row>
    <x:row r="18" ht="58" customHeight="1">
      <x:c r="A18" s="111" t="str">
        <x:v>P14</x:v>
      </x:c>
      <x:c r="B18" s="111" t="str">
        <x:v>QA, security, private beta, and launch</x:v>
      </x:c>
      <x:c r="C18" s="111" t="str">
        <x:v>Partially Complete</x:v>
      </x:c>
      <x:c r="D18" s="111" t="str">
        <x:v>Integrated</x:v>
      </x:c>
      <x:c r="E18" s="111" t="n">
        <x:f>COUNTIFS('Delivery Tracker'!$B$4:$B$400,$A18,'Delivery Tracker'!$H$4:$H$400,"Done")</x:f>
        <x:v>1</x:v>
      </x:c>
      <x:c r="F18" s="111" t="n">
        <x:f>COUNTIF('Delivery Tracker'!$B$4:$B$400,$A18)</x:f>
        <x:v>22</x:v>
      </x:c>
      <x:c r="G18" s="119" t="n">
        <x:f>IF(F18=0,0,E18/F18)</x:f>
        <x:v>0.045454545454545456</x:v>
      </x:c>
      <x:c r="H18" s="111" t="n">
        <x:f>COUNTIFS('Delivery Tracker'!$B$4:$B$400,$A18,'Delivery Tracker'!$H$4:$H$400,"In Progress")</x:f>
        <x:v>3</x:v>
      </x:c>
      <x:c r="I18" s="111" t="n">
        <x:f>COUNTIFS('Delivery Tracker'!$B$4:$B$400,$A18,'Delivery Tracker'!$H$4:$H$400,"In Review")</x:f>
        <x:v>0</x:v>
      </x:c>
      <x:c r="J18" s="111" t="n">
        <x:f>COUNTIFS('Delivery Tracker'!$B$4:$B$400,$A18,'Delivery Tracker'!$H$4:$H$400,"Blocked")</x:f>
        <x:v>0</x:v>
      </x:c>
      <x:c r="K18" s="111" t="n">
        <x:f>COUNTIFS('Delivery Tracker'!$B$4:$B$400,$A18,'Delivery Tracker'!$H$4:$H$400,"Not Started")</x:f>
        <x:v>18</x:v>
      </x:c>
      <x:c r="L18" s="111" t="str">
        <x:v>CI/E2E foundations and the deterministic promotion clock fix are published; product E2E, security drills, beta, and launch gates remain open.</x:v>
      </x:c>
      <x:c r="M18" s="111" t="str">
        <x:v>Verify applicable creator, content, security, recovery and support controls for beta. Paid flows also need processor and payment controls.</x:v>
      </x:c>
      <x:c r="N18" s="111" t="str">
        <x:v>Restore/security/processor/content/support drills pass; launch gates are satisfied; no critical findings.</x:v>
      </x:c>
      <x:c r="O18" s="111" t="str">
        <x:v>https://github.com/QK-Connoisseur/PDoki/actions/runs/32535922437</x:v>
      </x:c>
      <x:c r="P18" s="112" t="n">
        <x:v>46274.666666666664</x:v>
      </x:c>
    </x:row>
    <x:row r="19" ht="58" customHeight="1">
      <x:c r="A19" s="111" t="str">
        <x:v>POST</x:v>
      </x:c>
      <x:c r="B19" s="111" t="str">
        <x:v>Post-MVP</x:v>
      </x:c>
      <x:c r="C19" s="111" t="str">
        <x:v>Deferred</x:v>
      </x:c>
      <x:c r="D19" s="111" t="str">
        <x:v>N/A</x:v>
      </x:c>
      <x:c r="E19" s="111" t="n">
        <x:f>COUNTIFS('Delivery Tracker'!$B$4:$B$400,$A19,'Delivery Tracker'!$H$4:$H$400,"Done")</x:f>
        <x:v>0</x:v>
      </x:c>
      <x:c r="F19" s="111" t="n">
        <x:f>COUNTIF('Delivery Tracker'!$B$4:$B$400,$A19)</x:f>
        <x:v>1</x:v>
      </x:c>
      <x:c r="G19" s="119" t="n">
        <x:f>IF(F19=0,0,E19/F19)</x:f>
        <x:v>0</x:v>
      </x:c>
      <x:c r="H19" s="111" t="n">
        <x:f>COUNTIFS('Delivery Tracker'!$B$4:$B$400,$A19,'Delivery Tracker'!$H$4:$H$400,"In Progress")</x:f>
        <x:v>0</x:v>
      </x:c>
      <x:c r="I19" s="111" t="n">
        <x:f>COUNTIFS('Delivery Tracker'!$B$4:$B$400,$A19,'Delivery Tracker'!$H$4:$H$400,"In Review")</x:f>
        <x:v>0</x:v>
      </x:c>
      <x:c r="J19" s="111" t="n">
        <x:f>COUNTIFS('Delivery Tracker'!$B$4:$B$400,$A19,'Delivery Tracker'!$H$4:$H$400,"Blocked")</x:f>
        <x:v>0</x:v>
      </x:c>
      <x:c r="K19" s="111" t="n">
        <x:f>COUNTIFS('Delivery Tracker'!$B$4:$B$400,$A19,'Delivery Tracker'!$H$4:$H$400,"Not Started")</x:f>
        <x:v>1</x:v>
      </x:c>
      <x:c r="L19" s="111" t="str">
        <x:v>Live streaming, advanced recommendations, native apps, crypto, extra themes, and advanced group chat remain deferred.</x:v>
      </x:c>
      <x:c r="M19" s="111" t="str">
        <x:v>Revisit only after launch stability and core monetization evidence.</x:v>
      </x:c>
      <x:c r="N19" s="111" t="str">
        <x:v>Not an MVP exit gate.</x:v>
      </x:c>
      <x:c r="O19" s="111" t="str">
        <x:v>https://github.com/QK-Connoisseur/PDoki/blob/dev/PLAN.md#19-post-mvp</x:v>
      </x:c>
      <x:c r="P19" s="112" t="n">
        <x:v>46255.666666666664</x:v>
      </x:c>
    </x:row>
  </x:sheetData>
  <x:mergeCells>
    <x:mergeCell ref="A1:P1"/>
    <x:mergeCell ref="A2:P2"/>
  </x:mergeCells>
  <x:conditionalFormatting sqref="C4:C19">
    <x:cfRule type="containsText" dxfId="34" priority="1" operator="containsText" text="Complete"/>
    <x:cfRule type="containsText" dxfId="35" priority="2" operator="containsText" text="Partially Complete"/>
    <x:cfRule type="containsText" dxfId="36" priority="3" operator="containsText" text="Foundation Complete"/>
    <x:cfRule type="containsText" dxfId="37" priority="4" operator="containsText" text="Blocked"/>
    <x:cfRule type="containsText" dxfId="38" priority="5" operator="containsText" text="Not Started"/>
    <x:cfRule type="containsText" dxfId="39" priority="6" operator="containsText" text="Deferred"/>
  </x:conditionalFormatting>
  <x:dataValidations count="2">
    <x:dataValidation type="list" sqref="C4:C19">
      <x:formula1>"Not Started,Partially Complete,Foundation Complete,Complete,Blocked,Deferred"</x:formula1>
    </x:dataValidation>
    <x:dataValidation type="list" sqref="D4:D19">
      <x:formula1>"Decision Locked,UI Prototype,Backend Implemented,Integrated,Production-Ready,N/A"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18c19920934e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31" hidden="0" customWidth="1"/>
    <x:col min="4" max="4" width="16" hidden="0" customWidth="1"/>
    <x:col min="5" max="5" width="18" hidden="0" customWidth="1"/>
    <x:col min="6" max="6" width="25" hidden="0" customWidth="1"/>
    <x:col min="7" max="7" width="34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25" hidden="0" customWidth="1"/>
    <x:col min="13" max="13" width="40" hidden="0" customWidth="1"/>
    <x:col min="14" max="14" width="13" hidden="0" customWidth="1"/>
    <x:col min="15" max="15" width="38" hidden="0" customWidth="1"/>
    <x:col min="16" max="16" width="13" hidden="0" customWidth="1"/>
    <x:col min="17" max="17" width="44" hidden="0" customWidth="1"/>
    <x:col min="18" max="18" width="52" hidden="0" customWidth="1"/>
    <x:col min="19" max="19" width="32" hidden="0" customWidth="1"/>
  </x:cols>
  <x:sheetData>
    <x:row r="1" ht="32" customHeight="1">
      <x:c r="A1" s="88" t="str">
        <x:v>🌸 Pumdoki Delivery Tracker — PLAN.md Aligned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</x:row>
    <x:row r="2" ht="24" customHeight="1">
      <x:c r="A2" s="92" t="str">
        <x:v>Canonical execution view. The original Master Tracker remains preserved; use filters for phase, workflow, owner, and review state.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</x:row>
    <x:row r="3" ht="34" customHeight="1">
      <x:c r="A3" s="98" t="str">
        <x:v>Work ID</x:v>
      </x:c>
      <x:c r="B3" s="98" t="str">
        <x:v>Phase ID</x:v>
      </x:c>
      <x:c r="C3" s="98" t="str">
        <x:v>PLAN Phase</x:v>
      </x:c>
      <x:c r="D3" s="98" t="str">
        <x:v>Related Phase(s)</x:v>
      </x:c>
      <x:c r="E3" s="98" t="str">
        <x:v>Record Type</x:v>
      </x:c>
      <x:c r="F3" s="98" t="str">
        <x:v>Workstream</x:v>
      </x:c>
      <x:c r="G3" s="98" t="str">
        <x:v>Work Item</x:v>
      </x:c>
      <x:c r="H3" s="98" t="str">
        <x:v>Workflow</x:v>
      </x:c>
      <x:c r="I3" s="98" t="str">
        <x:v>Maturity</x:v>
      </x:c>
      <x:c r="J3" s="98" t="str">
        <x:v>Priority</x:v>
      </x:c>
      <x:c r="K3" s="98" t="str">
        <x:v>Owner</x:v>
      </x:c>
      <x:c r="L3" s="98" t="str">
        <x:v>Waiting On / Reviewer</x:v>
      </x:c>
      <x:c r="M3" s="98" t="str">
        <x:v>Next Action</x:v>
      </x:c>
      <x:c r="N3" s="98" t="str">
        <x:v>Next Check</x:v>
      </x:c>
      <x:c r="O3" s="98" t="str">
        <x:v>Evidence</x:v>
      </x:c>
      <x:c r="P3" s="98" t="str">
        <x:v>Updated</x:v>
      </x:c>
      <x:c r="Q3" s="98" t="str">
        <x:v>Scope / Description</x:v>
      </x:c>
      <x:c r="R3" s="98" t="str">
        <x:v>Notes / History</x:v>
      </x:c>
      <x:c r="S3" s="98" t="str">
        <x:v>Legacy Source</x:v>
      </x:c>
    </x:row>
    <x:row r="4" ht="46" customHeight="1">
      <x:c r="A4" s="109" t="str">
        <x:v>LEG-MT-005</x:v>
      </x:c>
      <x:c r="B4" s="109" t="str">
        <x:v>P00</x:v>
      </x:c>
      <x:c r="C4" s="109" t="str">
        <x:v>Baseline, tracker, and scope control</x:v>
      </x:c>
      <x:c r="D4" s="109" t="str"/>
      <x:c r="E4" s="109" t="str">
        <x:v>Legacy-mapped task</x:v>
      </x:c>
      <x:c r="F4" s="109" t="str">
        <x:v>Baseline, tracker, and scope control</x:v>
      </x:c>
      <x:c r="G4" s="109" t="str">
        <x:v>Define core value proposition</x:v>
      </x:c>
      <x:c r="H4" s="109" t="str">
        <x:v>Done</x:v>
      </x:c>
      <x:c r="I4" s="109" t="str">
        <x:v>Decision Locked</x:v>
      </x:c>
      <x:c r="J4" s="109" t="str">
        <x:v>Low</x:v>
      </x:c>
      <x:c r="K4" s="109" t="str">
        <x:v>Engineering</x:v>
      </x:c>
      <x:c r="L4" s="109" t="str"/>
      <x:c r="M4" s="109" t="str">
        <x:v>No action; reopen only if the approved scope changes.</x:v>
      </x:c>
      <x:c r="N4" s="110"/>
      <x:c r="O4" s="109" t="str"/>
      <x:c r="P4" s="110" t="n">
        <x:v>46250.666666666664</x:v>
      </x:c>
      <x:c r="Q4" s="109" t="str">
        <x:v>Lock the core promise for creators, members, and interaction.</x:v>
      </x:c>
      <x:c r="R4" s="109" t="str">
        <x:v>Positioning: 'A space for creators, members, and real interaction.'</x:v>
      </x:c>
      <x:c r="S4" s="109" t="str">
        <x:v>Preserved Master Tracker row 5; legacy status: ✅ Done</x:v>
      </x:c>
    </x:row>
    <x:row r="5" ht="46" customHeight="1">
      <x:c r="A5" s="111" t="str">
        <x:v>LEG-MT-006</x:v>
      </x:c>
      <x:c r="B5" s="111" t="str">
        <x:v>P00</x:v>
      </x:c>
      <x:c r="C5" s="111" t="str">
        <x:v>Baseline, tracker, and scope control</x:v>
      </x:c>
      <x:c r="D5" s="111" t="str"/>
      <x:c r="E5" s="111" t="str">
        <x:v>Legacy-mapped task</x:v>
      </x:c>
      <x:c r="F5" s="111" t="str">
        <x:v>Baseline, tracker, and scope control</x:v>
      </x:c>
      <x:c r="G5" s="111" t="str">
        <x:v>Lock MVP scope</x:v>
      </x:c>
      <x:c r="H5" s="111" t="str">
        <x:v>Done</x:v>
      </x:c>
      <x:c r="I5" s="111" t="str">
        <x:v>Decision Locked</x:v>
      </x:c>
      <x:c r="J5" s="111" t="str">
        <x:v>Low</x:v>
      </x:c>
      <x:c r="K5" s="111" t="str">
        <x:v>Engineering</x:v>
      </x:c>
      <x:c r="L5" s="111" t="str"/>
      <x:c r="M5" s="111" t="str">
        <x:v>No action; reopen only if the approved scope changes.</x:v>
      </x:c>
      <x:c r="N5" s="112"/>
      <x:c r="O5" s="111" t="str"/>
      <x:c r="P5" s="112" t="n">
        <x:v>46250.666666666664</x:v>
      </x:c>
      <x:c r="Q5" s="111" t="str">
        <x:v>Subscriptions-first, NSFW at launch. Confirm what is excluded from v1.</x:v>
      </x:c>
      <x:c r="R5" s="111" t="str">
        <x:v>MVP scope set.</x:v>
      </x:c>
      <x:c r="S5" s="111" t="str">
        <x:v>Preserved Master Tracker row 6; legacy status: ✅ Done</x:v>
      </x:c>
    </x:row>
    <x:row r="6" ht="46" customHeight="1">
      <x:c r="A6" s="111" t="str">
        <x:v>LEG-MT-007</x:v>
      </x:c>
      <x:c r="B6" s="111" t="str">
        <x:v>P00</x:v>
      </x:c>
      <x:c r="C6" s="111" t="str">
        <x:v>Baseline, tracker, and scope control</x:v>
      </x:c>
      <x:c r="D6" s="111" t="str"/>
      <x:c r="E6" s="111" t="str">
        <x:v>Legacy-mapped task</x:v>
      </x:c>
      <x:c r="F6" s="111" t="str">
        <x:v>Baseline, tracker, and scope control</x:v>
      </x:c>
      <x:c r="G6" s="111" t="str">
        <x:v>Document post-MVP delays</x:v>
      </x:c>
      <x:c r="H6" s="111" t="str">
        <x:v>Done</x:v>
      </x:c>
      <x:c r="I6" s="111" t="str">
        <x:v>Decision Locked</x:v>
      </x:c>
      <x:c r="J6" s="111" t="str">
        <x:v>Low</x:v>
      </x:c>
      <x:c r="K6" s="111" t="str">
        <x:v>Engineering</x:v>
      </x:c>
      <x:c r="L6" s="111" t="str"/>
      <x:c r="M6" s="111" t="str">
        <x:v>No action; reopen only if the approved scope changes.</x:v>
      </x:c>
      <x:c r="N6" s="112"/>
      <x:c r="O6" s="111" t="str"/>
      <x:c r="P6" s="112" t="n">
        <x:v>46250.666666666664</x:v>
      </x:c>
      <x:c r="Q6" s="111" t="str">
        <x:v>Keep live streaming, advanced chat, tipping, PPV, analytics, rec engine, extra themes, gamification out of MVP.</x:v>
      </x:c>
      <x:c r="R6" s="111" t="str">
        <x:v>MVP vs later items distinguished.</x:v>
      </x:c>
      <x:c r="S6" s="111" t="str">
        <x:v>Preserved Master Tracker row 7; legacy status: ✅ Done</x:v>
      </x:c>
    </x:row>
    <x:row r="7" ht="46" customHeight="1">
      <x:c r="A7" s="111" t="str">
        <x:v>LEG-MT-008</x:v>
      </x:c>
      <x:c r="B7" s="111" t="str">
        <x:v>P00</x:v>
      </x:c>
      <x:c r="C7" s="111" t="str">
        <x:v>Baseline, tracker, and scope control</x:v>
      </x:c>
      <x:c r="D7" s="111" t="str"/>
      <x:c r="E7" s="111" t="str">
        <x:v>Legacy-mapped task</x:v>
      </x:c>
      <x:c r="F7" s="111" t="str">
        <x:v>Baseline, tracker, and scope control</x:v>
      </x:c>
      <x:c r="G7" s="111" t="str">
        <x:v>Convert roadmap into phase plan</x:v>
      </x:c>
      <x:c r="H7" s="111" t="str">
        <x:v>Done</x:v>
      </x:c>
      <x:c r="I7" s="111" t="str">
        <x:v>Decision Locked</x:v>
      </x:c>
      <x:c r="J7" s="111" t="str">
        <x:v>Low</x:v>
      </x:c>
      <x:c r="K7" s="111" t="str">
        <x:v>Engineering</x:v>
      </x:c>
      <x:c r="L7" s="111" t="str"/>
      <x:c r="M7" s="111" t="str">
        <x:v>No action; reopen only if the approved scope changes.</x:v>
      </x:c>
      <x:c r="N7" s="112"/>
      <x:c r="O7" s="111" t="str">
        <x:v>https://github.com/QK-Connoisseur/PDoki/pull/1</x:v>
      </x:c>
      <x:c r="P7" s="112" t="n">
        <x:v>46250.666666666664</x:v>
      </x:c>
      <x:c r="Q7" s="111" t="str">
        <x:v>Break work into design, build, test, beta, and launch phases.</x:v>
      </x:c>
      <x:c r="R7" s="111" t="str">
        <x:v>Dependency-ordered PLAN.md is established and current through the merged PR #1–#3 baseline; tracker reconciliation is now ongoing maintenance.</x:v>
      </x:c>
      <x:c r="S7" s="111" t="str">
        <x:v>Preserved Master Tracker row 8; legacy status: ✅ Done</x:v>
      </x:c>
    </x:row>
    <x:row r="8" ht="46" customHeight="1">
      <x:c r="A8" s="111" t="str">
        <x:v>LEG-MT-009</x:v>
      </x:c>
      <x:c r="B8" s="111" t="str">
        <x:v>P14</x:v>
      </x:c>
      <x:c r="C8" s="111" t="str">
        <x:v>QA, security, private beta, and launch</x:v>
      </x:c>
      <x:c r="D8" s="111" t="str">
        <x:v>P00</x:v>
      </x:c>
      <x:c r="E8" s="111" t="str">
        <x:v>Legacy-mapped task</x:v>
      </x:c>
      <x:c r="F8" s="111" t="str">
        <x:v>Quality, beta &amp; launch readiness</x:v>
      </x:c>
      <x:c r="G8" s="111" t="str">
        <x:v>Set launch KPIs</x:v>
      </x:c>
      <x:c r="H8" s="111" t="str">
        <x:v>Not Started</x:v>
      </x:c>
      <x:c r="I8" s="111" t="str">
        <x:v>N/A</x:v>
      </x:c>
      <x:c r="J8" s="111" t="str">
        <x:v>High</x:v>
      </x:c>
      <x:c r="K8" s="111" t="str">
        <x:v>Engineering</x:v>
      </x:c>
      <x:c r="L8" s="111" t="str"/>
      <x:c r="M8" s="111" t="str">
        <x:v>Confirm dependencies and owner, then define the first deliverable.</x:v>
      </x:c>
      <x:c r="N8" s="112"/>
      <x:c r="O8" s="111" t="str"/>
      <x:c r="P8" s="112" t="n">
        <x:v>46250.666666666664</x:v>
      </x:c>
      <x:c r="Q8" s="111" t="str">
        <x:v>Define targets: creators onboarded, paid members, conversion, retention, bug rate.</x:v>
      </x:c>
      <x:c r="R8" s="111" t="str">
        <x:v>Needed before beta/public launch.</x:v>
      </x:c>
      <x:c r="S8" s="111" t="str">
        <x:v>Preserved Master Tracker row 9; legacy status: 📋 Not Started</x:v>
      </x:c>
    </x:row>
    <x:row r="9" ht="46" customHeight="1">
      <x:c r="A9" s="111" t="str">
        <x:v>LEG-MT-011</x:v>
      </x:c>
      <x:c r="B9" s="111" t="str">
        <x:v>P04</x:v>
      </x:c>
      <x:c r="C9" s="111" t="str">
        <x:v>Legal, trust, and creator onboarding</x:v>
      </x:c>
      <x:c r="D9" s="111" t="str"/>
      <x:c r="E9" s="111" t="str">
        <x:v>Legacy-mapped task</x:v>
      </x:c>
      <x:c r="F9" s="111" t="str">
        <x:v>Legal &amp; compliance</x:v>
      </x:c>
      <x:c r="G9" s="111" t="str">
        <x:v>Draft Terms of Service</x:v>
      </x:c>
      <x:c r="H9" s="111" t="str">
        <x:v>In Progress</x:v>
      </x:c>
      <x:c r="I9" s="111" t="str">
        <x:v>N/A</x:v>
      </x:c>
      <x:c r="J9" s="111" t="str">
        <x:v>Critical</x:v>
      </x:c>
      <x:c r="K9" s="111" t="str">
        <x:v>Founder</x:v>
      </x:c>
      <x:c r="L9" s="111" t="str"/>
      <x:c r="M9" s="111" t="str">
        <x:v>Close the remaining gap: Must exist before launch.</x:v>
      </x:c>
      <x:c r="N9" s="112"/>
      <x:c r="O9" s="111" t="str"/>
      <x:c r="P9" s="112" t="n">
        <x:v>46250.666666666664</x:v>
      </x:c>
      <x:c r="Q9" s="111" t="str">
        <x:v>Prepare terms governing platform use, NSFW content rules, user responsibilities, dispute resolution.</x:v>
      </x:c>
      <x:c r="R9" s="111" t="str">
        <x:v>Suzanne Lawyer hired on Fiverr for the $1,100 policy-document bundle. Draft delivery and review pending.</x:v>
      </x:c>
      <x:c r="S9" s="111" t="str">
        <x:v>Preserved Master Tracker row 11; legacy status: 🔄 In Progress</x:v>
      </x:c>
    </x:row>
    <x:row r="10" ht="46" customHeight="1">
      <x:c r="A10" s="111" t="str">
        <x:v>LEG-MT-012</x:v>
      </x:c>
      <x:c r="B10" s="111" t="str">
        <x:v>P04</x:v>
      </x:c>
      <x:c r="C10" s="111" t="str">
        <x:v>Legal, trust, and creator onboarding</x:v>
      </x:c>
      <x:c r="D10" s="111" t="str"/>
      <x:c r="E10" s="111" t="str">
        <x:v>Legacy-mapped task</x:v>
      </x:c>
      <x:c r="F10" s="111" t="str">
        <x:v>Legal &amp; compliance</x:v>
      </x:c>
      <x:c r="G10" s="111" t="str">
        <x:v>Draft Privacy Policy</x:v>
      </x:c>
      <x:c r="H10" s="111" t="str">
        <x:v>In Progress</x:v>
      </x:c>
      <x:c r="I10" s="111" t="str">
        <x:v>N/A</x:v>
      </x:c>
      <x:c r="J10" s="111" t="str">
        <x:v>Medium</x:v>
      </x:c>
      <x:c r="K10" s="111" t="str">
        <x:v>Founder</x:v>
      </x:c>
      <x:c r="L10" s="111" t="str"/>
      <x:c r="M10" s="111" t="str">
        <x:v>Close the remaining gap: Privacy layers discussed; formal draft needed.</x:v>
      </x:c>
      <x:c r="N10" s="112"/>
      <x:c r="O10" s="111" t="str"/>
      <x:c r="P10" s="112" t="n">
        <x:v>46250.666666666664</x:v>
      </x:c>
      <x:c r="Q10" s="111" t="str">
        <x:v>Data collection, cookies, third-party sharing, CCPA/GDPR rights, data retention.</x:v>
      </x:c>
      <x:c r="R10" s="111" t="str">
        <x:v>Privacy layers discussed; formal draft needed.</x:v>
      </x:c>
      <x:c r="S10" s="111" t="str">
        <x:v>Preserved Master Tracker row 12; legacy status: 🔄 In Progress</x:v>
      </x:c>
    </x:row>
    <x:row r="11" ht="46" customHeight="1">
      <x:c r="A11" s="111" t="str">
        <x:v>LEG-MT-013</x:v>
      </x:c>
      <x:c r="B11" s="111" t="str">
        <x:v>P04</x:v>
      </x:c>
      <x:c r="C11" s="111" t="str">
        <x:v>Legal, trust, and creator onboarding</x:v>
      </x:c>
      <x:c r="D11" s="111" t="str"/>
      <x:c r="E11" s="111" t="str">
        <x:v>Legacy-mapped task</x:v>
      </x:c>
      <x:c r="F11" s="111" t="str">
        <x:v>Legal &amp; compliance</x:v>
      </x:c>
      <x:c r="G11" s="111" t="str">
        <x:v>Draft Community / Platform Rules</x:v>
      </x:c>
      <x:c r="H11" s="111" t="str">
        <x:v>In Progress</x:v>
      </x:c>
      <x:c r="I11" s="111" t="str">
        <x:v>Decision Locked</x:v>
      </x:c>
      <x:c r="J11" s="111" t="str">
        <x:v>High</x:v>
      </x:c>
      <x:c r="K11" s="111" t="str">
        <x:v>Founder</x:v>
      </x:c>
      <x:c r="L11" s="111" t="str"/>
      <x:c r="M11" s="111" t="str">
        <x:v>Close the remaining gap: Required for moderation consistency.</x:v>
      </x:c>
      <x:c r="N11" s="112"/>
      <x:c r="O11" s="111" t="str"/>
      <x:c r="P11" s="112" t="n">
        <x:v>46250.666666666664</x:v>
      </x:c>
      <x:c r="Q11" s="111" t="str">
        <x:v>State permitted and prohibited activity clearly for creators and members.</x:v>
      </x:c>
      <x:c r="R11" s="111" t="str">
        <x:v>Required for moderation consistency.</x:v>
      </x:c>
      <x:c r="S11" s="111" t="str">
        <x:v>Preserved Master Tracker row 13; legacy status: 🔄 In Progress</x:v>
      </x:c>
    </x:row>
    <x:row r="12" ht="46" customHeight="1">
      <x:c r="A12" s="111" t="str">
        <x:v>LEG-MT-014</x:v>
      </x:c>
      <x:c r="B12" s="111" t="str">
        <x:v>P04</x:v>
      </x:c>
      <x:c r="C12" s="111" t="str">
        <x:v>Legal, trust, and creator onboarding</x:v>
      </x:c>
      <x:c r="D12" s="111" t="str"/>
      <x:c r="E12" s="111" t="str">
        <x:v>Legacy-mapped task</x:v>
      </x:c>
      <x:c r="F12" s="111" t="str">
        <x:v>Legal &amp; compliance</x:v>
      </x:c>
      <x:c r="G12" s="111" t="str">
        <x:v>Draft Acceptable Use Policy</x:v>
      </x:c>
      <x:c r="H12" s="111" t="str">
        <x:v>In Progress</x:v>
      </x:c>
      <x:c r="I12" s="111" t="str">
        <x:v>N/A</x:v>
      </x:c>
      <x:c r="J12" s="111" t="str">
        <x:v>High</x:v>
      </x:c>
      <x:c r="K12" s="111" t="str">
        <x:v>Founder</x:v>
      </x:c>
      <x:c r="L12" s="111" t="str">
        <x:v>Counsel / founder decision</x:v>
      </x:c>
      <x:c r="M12" s="111" t="str">
        <x:v>Close the remaining gap: Separates from ToS for clarity and enforcement.</x:v>
      </x:c>
      <x:c r="N12" s="112"/>
      <x:c r="O12" s="111" t="str"/>
      <x:c r="P12" s="112" t="n">
        <x:v>46250.666666666664</x:v>
      </x:c>
      <x:c r="Q12" s="111" t="str">
        <x:v>No minors, no non-consensual content, no illegal material, no harassment.</x:v>
      </x:c>
      <x:c r="R12" s="111" t="str">
        <x:v>Separates from ToS for clarity and enforcement.</x:v>
      </x:c>
      <x:c r="S12" s="111" t="str">
        <x:v>Preserved Master Tracker row 14; legacy status: 🔄 In Progress</x:v>
      </x:c>
    </x:row>
    <x:row r="13" ht="46" customHeight="1">
      <x:c r="A13" s="111" t="str">
        <x:v>LEG-MT-015</x:v>
      </x:c>
      <x:c r="B13" s="111" t="str">
        <x:v>P04</x:v>
      </x:c>
      <x:c r="C13" s="111" t="str">
        <x:v>Legal, trust, and creator onboarding</x:v>
      </x:c>
      <x:c r="D13" s="111" t="str"/>
      <x:c r="E13" s="111" t="str">
        <x:v>Legacy-mapped task</x:v>
      </x:c>
      <x:c r="F13" s="111" t="str">
        <x:v>Legal &amp; compliance</x:v>
      </x:c>
      <x:c r="G13" s="111" t="str">
        <x:v>Create DMCA Policy &amp; Takedown Process</x:v>
      </x:c>
      <x:c r="H13" s="111" t="str">
        <x:v>In Progress</x:v>
      </x:c>
      <x:c r="I13" s="111" t="str">
        <x:v>Decision Locked</x:v>
      </x:c>
      <x:c r="J13" s="111" t="str">
        <x:v>High</x:v>
      </x:c>
      <x:c r="K13" s="111" t="str">
        <x:v>Founder</x:v>
      </x:c>
      <x:c r="L13" s="111" t="str"/>
      <x:c r="M13" s="111" t="str">
        <x:v>Close the remaining gap: Required for content platforms.</x:v>
      </x:c>
      <x:c r="N13" s="112"/>
      <x:c r="O13" s="111" t="str"/>
      <x:c r="P13" s="112" t="n">
        <x:v>46250.666666666664</x:v>
      </x:c>
      <x:c r="Q13" s="111" t="str">
        <x:v>Copyright reporting form, designated agent, response procedures (17 USC §512).</x:v>
      </x:c>
      <x:c r="R13" s="111" t="str">
        <x:v>Required for content platforms.</x:v>
      </x:c>
      <x:c r="S13" s="111" t="str">
        <x:v>Preserved Master Tracker row 15; legacy status: 🔄 In Progress</x:v>
      </x:c>
    </x:row>
    <x:row r="14" ht="46" customHeight="1">
      <x:c r="A14" s="111" t="str">
        <x:v>LEG-MT-016</x:v>
      </x:c>
      <x:c r="B14" s="111" t="str">
        <x:v>P04</x:v>
      </x:c>
      <x:c r="C14" s="111" t="str">
        <x:v>Legal, trust, and creator onboarding</x:v>
      </x:c>
      <x:c r="D14" s="111" t="str"/>
      <x:c r="E14" s="111" t="str">
        <x:v>Legacy-mapped task</x:v>
      </x:c>
      <x:c r="F14" s="111" t="str">
        <x:v>Legal &amp; compliance</x:v>
      </x:c>
      <x:c r="G14" s="111" t="str">
        <x:v>Implement 18 USC §2257 Recordkeeping</x:v>
      </x:c>
      <x:c r="H14" s="111" t="str">
        <x:v>In Progress</x:v>
      </x:c>
      <x:c r="I14" s="111" t="str">
        <x:v>N/A</x:v>
      </x:c>
      <x:c r="J14" s="111" t="str">
        <x:v>Critical</x:v>
      </x:c>
      <x:c r="K14" s="111" t="str">
        <x:v>Engineering</x:v>
      </x:c>
      <x:c r="L14" s="111" t="str"/>
      <x:c r="M14" s="111" t="str">
        <x:v>Close the remaining gap: Federal requirement for adult content platforms.</x:v>
      </x:c>
      <x:c r="N14" s="112"/>
      <x:c r="O14" s="111" t="str"/>
      <x:c r="P14" s="112" t="n">
        <x:v>46250.666666666664</x:v>
      </x:c>
      <x:c r="Q14" s="111" t="str">
        <x:v>Maintain age verification records for performers in sexually explicit content. Display §2257 compliance statement.</x:v>
      </x:c>
      <x:c r="R14" s="111" t="str">
        <x:v>Federal requirement for adult content platforms.</x:v>
      </x:c>
      <x:c r="S14" s="111" t="str">
        <x:v>Preserved Master Tracker row 16; legacy status: 🔄 In Progress</x:v>
      </x:c>
    </x:row>
    <x:row r="15" ht="46" customHeight="1">
      <x:c r="A15" s="111" t="str">
        <x:v>LEG-MT-017</x:v>
      </x:c>
      <x:c r="B15" s="111" t="str">
        <x:v>P04</x:v>
      </x:c>
      <x:c r="C15" s="111" t="str">
        <x:v>Legal, trust, and creator onboarding</x:v>
      </x:c>
      <x:c r="D15" s="111" t="str"/>
      <x:c r="E15" s="111" t="str">
        <x:v>Legacy-mapped task</x:v>
      </x:c>
      <x:c r="F15" s="111" t="str">
        <x:v>Legal &amp; compliance</x:v>
      </x:c>
      <x:c r="G15" s="111" t="str">
        <x:v>Draft Cookie Policy &amp; Consent Banner</x:v>
      </x:c>
      <x:c r="H15" s="111" t="str">
        <x:v>In Progress</x:v>
      </x:c>
      <x:c r="I15" s="111" t="str">
        <x:v>N/A</x:v>
      </x:c>
      <x:c r="J15" s="111" t="str">
        <x:v>High</x:v>
      </x:c>
      <x:c r="K15" s="111" t="str">
        <x:v>Founder</x:v>
      </x:c>
      <x:c r="L15" s="111" t="str"/>
      <x:c r="M15" s="111" t="str">
        <x:v>Close the remaining gap: Required for EU visitors; best practice globally.</x:v>
      </x:c>
      <x:c r="N15" s="112"/>
      <x:c r="O15" s="111" t="str"/>
      <x:c r="P15" s="112" t="n">
        <x:v>46250.666666666664</x:v>
      </x:c>
      <x:c r="Q15" s="111" t="str">
        <x:v>Disclose cookie usage, purposes, opt-out. Implement consent UI (required for GDPR/ePrivacy).</x:v>
      </x:c>
      <x:c r="R15" s="111" t="str">
        <x:v>Required for EU visitors; best practice globally.</x:v>
      </x:c>
      <x:c r="S15" s="111" t="str">
        <x:v>Preserved Master Tracker row 17; legacy status: 🔄 In Progress</x:v>
      </x:c>
    </x:row>
    <x:row r="16" ht="46" customHeight="1">
      <x:c r="A16" s="111" t="str">
        <x:v>LEG-MT-018</x:v>
      </x:c>
      <x:c r="B16" s="111" t="str">
        <x:v>P04</x:v>
      </x:c>
      <x:c r="C16" s="111" t="str">
        <x:v>Legal, trust, and creator onboarding</x:v>
      </x:c>
      <x:c r="D16" s="111" t="str"/>
      <x:c r="E16" s="111" t="str">
        <x:v>Legacy-mapped task</x:v>
      </x:c>
      <x:c r="F16" s="111" t="str">
        <x:v>Legal &amp; compliance</x:v>
      </x:c>
      <x:c r="G16" s="111" t="str">
        <x:v>Implement GDPR Compliance</x:v>
      </x:c>
      <x:c r="H16" s="111" t="str">
        <x:v>In Progress</x:v>
      </x:c>
      <x:c r="I16" s="111" t="str">
        <x:v>Decision Locked</x:v>
      </x:c>
      <x:c r="J16" s="111" t="str">
        <x:v>High</x:v>
      </x:c>
      <x:c r="K16" s="111" t="str">
        <x:v>Engineering</x:v>
      </x:c>
      <x:c r="L16" s="111" t="str">
        <x:v>Founder + provider response</x:v>
      </x:c>
      <x:c r="M16" s="111" t="str">
        <x:v>Close the remaining gap: Required if serving EU users.</x:v>
      </x:c>
      <x:c r="N16" s="112"/>
      <x:c r="O16" s="111" t="str"/>
      <x:c r="P16" s="112" t="n">
        <x:v>46250.666666666664</x:v>
      </x:c>
      <x:c r="Q16" s="111" t="str">
        <x:v>Right to access, deletion, data portability, consent management, DPA with processors.</x:v>
      </x:c>
      <x:c r="R16" s="111" t="str">
        <x:v>Required if serving EU users.</x:v>
      </x:c>
      <x:c r="S16" s="111" t="str">
        <x:v>Preserved Master Tracker row 18; legacy status: 🔄 In Progress</x:v>
      </x:c>
    </x:row>
    <x:row r="17" ht="46" customHeight="1">
      <x:c r="A17" s="111" t="str">
        <x:v>LEG-MT-019</x:v>
      </x:c>
      <x:c r="B17" s="111" t="str">
        <x:v>P04</x:v>
      </x:c>
      <x:c r="C17" s="111" t="str">
        <x:v>Legal, trust, and creator onboarding</x:v>
      </x:c>
      <x:c r="D17" s="111" t="str"/>
      <x:c r="E17" s="111" t="str">
        <x:v>Legacy-mapped task</x:v>
      </x:c>
      <x:c r="F17" s="111" t="str">
        <x:v>Legal &amp; compliance</x:v>
      </x:c>
      <x:c r="G17" s="111" t="str">
        <x:v>Implement CCPA/CPRA Compliance</x:v>
      </x:c>
      <x:c r="H17" s="111" t="str">
        <x:v>In Progress</x:v>
      </x:c>
      <x:c r="I17" s="111" t="str">
        <x:v>N/A</x:v>
      </x:c>
      <x:c r="J17" s="111" t="str">
        <x:v>High</x:v>
      </x:c>
      <x:c r="K17" s="111" t="str">
        <x:v>Engineering</x:v>
      </x:c>
      <x:c r="L17" s="111" t="str"/>
      <x:c r="M17" s="111" t="str">
        <x:v>Close the remaining gap: Required if serving California users.</x:v>
      </x:c>
      <x:c r="N17" s="112"/>
      <x:c r="O17" s="111" t="str"/>
      <x:c r="P17" s="112" t="n">
        <x:v>46250.666666666664</x:v>
      </x:c>
      <x:c r="Q17" s="111" t="str">
        <x:v>'Do Not Sell' opt-out, privacy notice for CA residents, data deletion requests.</x:v>
      </x:c>
      <x:c r="R17" s="111" t="str">
        <x:v>Required if serving California users.</x:v>
      </x:c>
      <x:c r="S17" s="111" t="str">
        <x:v>Preserved Master Tracker row 19; legacy status: 🔄 In Progress</x:v>
      </x:c>
    </x:row>
    <x:row r="18" ht="46" customHeight="1">
      <x:c r="A18" s="111" t="str">
        <x:v>LEG-MT-020</x:v>
      </x:c>
      <x:c r="B18" s="111" t="str">
        <x:v>P04</x:v>
      </x:c>
      <x:c r="C18" s="111" t="str">
        <x:v>Legal, trust, and creator onboarding</x:v>
      </x:c>
      <x:c r="D18" s="111" t="str">
        <x:v>P06</x:v>
      </x:c>
      <x:c r="E18" s="111" t="str">
        <x:v>Legacy-mapped task</x:v>
      </x:c>
      <x:c r="F18" s="111" t="str">
        <x:v>Legal &amp; compliance</x:v>
      </x:c>
      <x:c r="G18" s="111" t="str">
        <x:v>Prepare Payment Provider Compliance Package</x:v>
      </x:c>
      <x:c r="H18" s="111" t="str">
        <x:v>In Progress</x:v>
      </x:c>
      <x:c r="I18" s="111" t="str">
        <x:v>N/A</x:v>
      </x:c>
      <x:c r="J18" s="111" t="str">
        <x:v>High</x:v>
      </x:c>
      <x:c r="K18" s="111" t="str">
        <x:v>Engineering</x:v>
      </x:c>
      <x:c r="L18" s="111" t="str">
        <x:v>Founder + provider response</x:v>
      </x:c>
      <x:c r="M18" s="111" t="str">
        <x:v>Continue functioning-site and policy preparation alongside the current product slice. Assemble account-specific evidence for later CCBill review.</x:v>
      </x:c>
      <x:c r="N18" s="112"/>
      <x:c r="O18" s="111" t="str">
        <x:v>docs/product/initial-ccbill-inquiry.md</x:v>
      </x:c>
      <x:c r="P18" s="112" t="n">
        <x:v>46275.666666666664</x:v>
      </x:c>
      <x:c r="Q18" s="111" t="str">
        <x:v>Document policies/controls required by CCBill and Epoch for merchant onboarding.</x:v>
      </x:c>
      <x:c r="R18" s="111" t="str">
        <x:v>CCBill Sales replied: a functioning online site is required; password protection is allowed. Site preparation is underway, safe-content/R2 milestone is verified and policy drafting is commissioned. Merchant approval, model eligibility, fees and payouts remain unresolved.</x:v>
      </x:c>
      <x:c r="S18" s="111" t="str">
        <x:v>Master Tracker row 20; provider preparation reconciled September 10, 2026.</x:v>
      </x:c>
    </x:row>
    <x:row r="19" ht="46" customHeight="1">
      <x:c r="A19" s="111" t="str">
        <x:v>LEG-MT-021</x:v>
      </x:c>
      <x:c r="B19" s="111" t="str">
        <x:v>P04</x:v>
      </x:c>
      <x:c r="C19" s="111" t="str">
        <x:v>Legal, trust, and creator onboarding</x:v>
      </x:c>
      <x:c r="D19" s="111" t="str">
        <x:v>P06</x:v>
      </x:c>
      <x:c r="E19" s="111" t="str">
        <x:v>Legacy-mapped task</x:v>
      </x:c>
      <x:c r="F19" s="111" t="str">
        <x:v>Creator onboarding &amp; trust</x:v>
      </x:c>
      <x:c r="G19" s="111" t="str">
        <x:v>Draft Creator Agreement / Payout Terms</x:v>
      </x:c>
      <x:c r="H19" s="111" t="str">
        <x:v>Not Started</x:v>
      </x:c>
      <x:c r="I19" s="111" t="str">
        <x:v>N/A</x:v>
      </x:c>
      <x:c r="J19" s="111" t="str">
        <x:v>Critical</x:v>
      </x:c>
      <x:c r="K19" s="111" t="str">
        <x:v>Founder</x:v>
      </x:c>
      <x:c r="L19" s="111" t="str">
        <x:v>Founder + counsel/provider</x:v>
      </x:c>
      <x:c r="M19" s="111" t="str">
        <x:v>Confirm dependencies and owner, then define the first deliverable.</x:v>
      </x:c>
      <x:c r="N19" s="112"/>
      <x:c r="O19" s="111" t="str"/>
      <x:c r="P19" s="112" t="n">
        <x:v>46250.666666666664</x:v>
      </x:c>
      <x:c r="Q19" s="111" t="str">
        <x:v>Creator obligations: content ownership, tax (W-9/W-8BEN), payout terms, prohibited content.</x:v>
      </x:c>
      <x:c r="R19" s="111" t="str">
        <x:v>Needed before creator onboarding.</x:v>
      </x:c>
      <x:c r="S19" s="111" t="str">
        <x:v>Preserved Master Tracker row 21; legacy status: 📋 Not Started</x:v>
      </x:c>
    </x:row>
    <x:row r="20" ht="46" customHeight="1">
      <x:c r="A20" s="111" t="str">
        <x:v>LEG-MT-022</x:v>
      </x:c>
      <x:c r="B20" s="111" t="str">
        <x:v>P04</x:v>
      </x:c>
      <x:c r="C20" s="111" t="str">
        <x:v>Legal, trust, and creator onboarding</x:v>
      </x:c>
      <x:c r="D20" s="111" t="str"/>
      <x:c r="E20" s="111" t="str">
        <x:v>Legacy-mapped task</x:v>
      </x:c>
      <x:c r="F20" s="111" t="str">
        <x:v>Legal &amp; compliance</x:v>
      </x:c>
      <x:c r="G20" s="111" t="str">
        <x:v>Implement Visa/Mastercard BRAM Compliance</x:v>
      </x:c>
      <x:c r="H20" s="111" t="str">
        <x:v>Not Started</x:v>
      </x:c>
      <x:c r="I20" s="111" t="str">
        <x:v>N/A</x:v>
      </x:c>
      <x:c r="J20" s="111" t="str">
        <x:v>Medium</x:v>
      </x:c>
      <x:c r="K20" s="111" t="str">
        <x:v>Engineering</x:v>
      </x:c>
      <x:c r="L20" s="111" t="str"/>
      <x:c r="M20" s="111" t="str">
        <x:v>Confirm dependencies and owner, then define the first deliverable.</x:v>
      </x:c>
      <x:c r="N20" s="112"/>
      <x:c r="O20" s="111" t="str"/>
      <x:c r="P20" s="112" t="n">
        <x:v>46250.666666666664</x:v>
      </x:c>
      <x:c r="Q20" s="111" t="str">
        <x:v>Meet Brand Risk and Acquirer Monitoring requirements for adult merchants.</x:v>
      </x:c>
      <x:c r="R20" s="111" t="str">
        <x:v>Card network requirement for adult sites.</x:v>
      </x:c>
      <x:c r="S20" s="111" t="str">
        <x:v>Preserved Master Tracker row 22; legacy status: 📋 Not Started</x:v>
      </x:c>
    </x:row>
    <x:row r="21" ht="46" customHeight="1">
      <x:c r="A21" s="111" t="str">
        <x:v>LEG-MT-023</x:v>
      </x:c>
      <x:c r="B21" s="111" t="str">
        <x:v>P04</x:v>
      </x:c>
      <x:c r="C21" s="111" t="str">
        <x:v>Legal, trust, and creator onboarding</x:v>
      </x:c>
      <x:c r="D21" s="111" t="str"/>
      <x:c r="E21" s="111" t="str">
        <x:v>Legacy-mapped task</x:v>
      </x:c>
      <x:c r="F21" s="111" t="str">
        <x:v>Legal &amp; compliance</x:v>
      </x:c>
      <x:c r="G21" s="111" t="str">
        <x:v>Finalize Trademark Filing Plan</x:v>
      </x:c>
      <x:c r="H21" s="111" t="str">
        <x:v>In Progress</x:v>
      </x:c>
      <x:c r="I21" s="111" t="str">
        <x:v>N/A</x:v>
      </x:c>
      <x:c r="J21" s="111" t="str">
        <x:v>Medium</x:v>
      </x:c>
      <x:c r="K21" s="111" t="str">
        <x:v>Founder</x:v>
      </x:c>
      <x:c r="L21" s="111" t="str"/>
      <x:c r="M21" s="111" t="str">
        <x:v>Close the remaining gap: Trademark timing/classes already considered.</x:v>
      </x:c>
      <x:c r="N21" s="112"/>
      <x:c r="O21" s="111" t="str"/>
      <x:c r="P21" s="112" t="n">
        <x:v>46250.666666666664</x:v>
      </x:c>
      <x:c r="Q21" s="111" t="str">
        <x:v>Decide classes (IC 009, 035, 042), timing and filing sequence for 'Pumdoki'.</x:v>
      </x:c>
      <x:c r="R21" s="111" t="str">
        <x:v>Trademark timing/classes already considered.</x:v>
      </x:c>
      <x:c r="S21" s="111" t="str">
        <x:v>Preserved Master Tracker row 23; legacy status: 🔄 In Progress</x:v>
      </x:c>
    </x:row>
    <x:row r="22" ht="46" customHeight="1">
      <x:c r="A22" s="111" t="str">
        <x:v>LEG-MT-024</x:v>
      </x:c>
      <x:c r="B22" s="111" t="str">
        <x:v>P04</x:v>
      </x:c>
      <x:c r="C22" s="111" t="str">
        <x:v>Legal, trust, and creator onboarding</x:v>
      </x:c>
      <x:c r="D22" s="111" t="str">
        <x:v>P02</x:v>
      </x:c>
      <x:c r="E22" s="111" t="str">
        <x:v>Legacy-mapped task</x:v>
      </x:c>
      <x:c r="F22" s="111" t="str">
        <x:v>Legal &amp; compliance</x:v>
      </x:c>
      <x:c r="G22" s="111" t="str">
        <x:v>Finalize Domain Management</x:v>
      </x:c>
      <x:c r="H22" s="111" t="str">
        <x:v>In Progress</x:v>
      </x:c>
      <x:c r="I22" s="111" t="str">
        <x:v>Decision Locked</x:v>
      </x:c>
      <x:c r="J22" s="111" t="str">
        <x:v>Medium</x:v>
      </x:c>
      <x:c r="K22" s="111" t="str">
        <x:v>Engineering</x:v>
      </x:c>
      <x:c r="L22" s="111" t="str"/>
      <x:c r="M22" s="111" t="str">
        <x:v>Close the remaining gap: Domain strategy already considered.</x:v>
      </x:c>
      <x:c r="N22" s="112"/>
      <x:c r="O22" s="111" t="str"/>
      <x:c r="P22" s="112" t="n">
        <x:v>46250.666666666664</x:v>
      </x:c>
      <x:c r="Q22" s="111" t="str">
        <x:v>Secure primary domains and variants (.com, .net, etc.).</x:v>
      </x:c>
      <x:c r="R22" s="111" t="str">
        <x:v>Domain strategy already considered.</x:v>
      </x:c>
      <x:c r="S22" s="111" t="str">
        <x:v>Preserved Master Tracker row 24; legacy status: 🔄 In Progress</x:v>
      </x:c>
    </x:row>
    <x:row r="23" ht="46" customHeight="1">
      <x:c r="A23" s="111" t="str">
        <x:v>LEG-MT-025</x:v>
      </x:c>
      <x:c r="B23" s="111" t="str">
        <x:v>P04</x:v>
      </x:c>
      <x:c r="C23" s="111" t="str">
        <x:v>Legal, trust, and creator onboarding</x:v>
      </x:c>
      <x:c r="D23" s="111" t="str"/>
      <x:c r="E23" s="111" t="str">
        <x:v>Legacy-mapped task</x:v>
      </x:c>
      <x:c r="F23" s="111" t="str">
        <x:v>Legal &amp; compliance</x:v>
      </x:c>
      <x:c r="G23" s="111" t="str">
        <x:v>Address MD Business Registration Privacy</x:v>
      </x:c>
      <x:c r="H23" s="111" t="str">
        <x:v>In Progress</x:v>
      </x:c>
      <x:c r="I23" s="111" t="str">
        <x:v>N/A</x:v>
      </x:c>
      <x:c r="J23" s="111" t="str">
        <x:v>High</x:v>
      </x:c>
      <x:c r="K23" s="111" t="str">
        <x:v>Founder</x:v>
      </x:c>
      <x:c r="L23" s="111" t="str">
        <x:v>Northwest / founder records</x:v>
      </x:c>
      <x:c r="M23" s="111" t="str">
        <x:v>Review the approved filing and published address details when Northwest supplies them; actual state approval remains pending.</x:v>
      </x:c>
      <x:c r="N23" s="112"/>
      <x:c r="O23" s="111" t="str"/>
      <x:c r="P23" s="112" t="n">
        <x:v>46273.666666666664</x:v>
      </x:c>
      <x:c r="Q23" s="111" t="str">
        <x:v>Manage privacy concerns — MD biz records may expose personal identity linked to NSFW platform.</x:v>
      </x:c>
      <x:c r="R23" s="111" t="str">
        <x:v>Founder reports Kiban Digital Holdings LLC filed in Maryland through Northwest, awaiting approval. Final published address/privacy details remain unverified. State-comparison task is superseded.</x:v>
      </x:c>
      <x:c r="S23" s="111" t="str">
        <x:v>Preserved Master Tracker row 25; legacy status: 🔄 In Progress</x:v>
      </x:c>
    </x:row>
    <x:row r="24" ht="46" customHeight="1">
      <x:c r="A24" s="111" t="str">
        <x:v>LEG-MT-026</x:v>
      </x:c>
      <x:c r="B24" s="111" t="str">
        <x:v>P13</x:v>
      </x:c>
      <x:c r="C24" s="111" t="str">
        <x:v>Internationalization and accessibility</x:v>
      </x:c>
      <x:c r="D24" s="111" t="str"/>
      <x:c r="E24" s="111" t="str">
        <x:v>Legacy-mapped task</x:v>
      </x:c>
      <x:c r="F24" s="111" t="str">
        <x:v>Internationalization and accessibility</x:v>
      </x:c>
      <x:c r="G24" s="111" t="str">
        <x:v>Implement Accessibility Basics (ADA/WCAG)</x:v>
      </x:c>
      <x:c r="H24" s="111" t="str">
        <x:v>Not Started</x:v>
      </x:c>
      <x:c r="I24" s="111" t="str">
        <x:v>N/A</x:v>
      </x:c>
      <x:c r="J24" s="111" t="str">
        <x:v>High</x:v>
      </x:c>
      <x:c r="K24" s="111" t="str">
        <x:v>Engineering</x:v>
      </x:c>
      <x:c r="L24" s="111" t="str">
        <x:v>Counsel / founder decision</x:v>
      </x:c>
      <x:c r="M24" s="111" t="str">
        <x:v>Confirm dependencies and owner, then define the first deliverable.</x:v>
      </x:c>
      <x:c r="N24" s="112"/>
      <x:c r="O24" s="111" t="str"/>
      <x:c r="P24" s="112" t="n">
        <x:v>46250.666666666664</x:v>
      </x:c>
      <x:c r="Q24" s="111" t="str">
        <x:v>Alt text, keyboard navigation, contrast ratios, screen reader compatibility.</x:v>
      </x:c>
      <x:c r="R24" s="111" t="str">
        <x:v>Best practice; reduces legal risk.</x:v>
      </x:c>
      <x:c r="S24" s="111" t="str">
        <x:v>Preserved Master Tracker row 26; legacy status: 📋 Not Started</x:v>
      </x:c>
    </x:row>
    <x:row r="25" ht="46" customHeight="1">
      <x:c r="A25" s="111" t="str">
        <x:v>LEG-MT-027</x:v>
      </x:c>
      <x:c r="B25" s="111" t="str">
        <x:v>P04</x:v>
      </x:c>
      <x:c r="C25" s="111" t="str">
        <x:v>Legal, trust, and creator onboarding</x:v>
      </x:c>
      <x:c r="D25" s="111" t="str"/>
      <x:c r="E25" s="111" t="str">
        <x:v>Legacy-mapped task</x:v>
      </x:c>
      <x:c r="F25" s="111" t="str">
        <x:v>Legal &amp; compliance</x:v>
      </x:c>
      <x:c r="G25" s="111" t="str">
        <x:v>Draft Anti-Human Trafficking Policy</x:v>
      </x:c>
      <x:c r="H25" s="111" t="str">
        <x:v>In Progress</x:v>
      </x:c>
      <x:c r="I25" s="111" t="str">
        <x:v>N/A</x:v>
      </x:c>
      <x:c r="J25" s="111" t="str">
        <x:v>High</x:v>
      </x:c>
      <x:c r="K25" s="111" t="str">
        <x:v>Founder</x:v>
      </x:c>
      <x:c r="L25" s="111" t="str">
        <x:v>Founder + provider response</x:v>
      </x:c>
      <x:c r="M25" s="111" t="str">
        <x:v>Await the commissioned draft, then review and approve it before publication or operational reliance.</x:v>
      </x:c>
      <x:c r="N25" s="112"/>
      <x:c r="O25" s="111" t="str">
        <x:v>Expense Tracker row 11; founder-confirmed Suzanne Lawyer $1,100 document bundle, including anti-trafficking policy.</x:v>
      </x:c>
      <x:c r="P25" s="112" t="n">
        <x:v>46275.666666666664</x:v>
      </x:c>
      <x:c r="Q25" s="111" t="str">
        <x:v>Prohibit trafficking, exploitation, coercive content. Include reporting mechanisms and creator guidance.</x:v>
      </x:c>
      <x:c r="R25" s="111" t="str">
        <x:v>Drafting commissioned within the purchased policy bundle. Delivery and substantive approval remain pending.</x:v>
      </x:c>
      <x:c r="S25" s="111" t="str">
        <x:v>Master Tracker row 27; purchased drafting recorded September 10, 2026.</x:v>
      </x:c>
    </x:row>
    <x:row r="26" ht="46" customHeight="1">
      <x:c r="A26" s="111" t="str">
        <x:v>LEG-MT-028</x:v>
      </x:c>
      <x:c r="B26" s="111" t="str">
        <x:v>P04</x:v>
      </x:c>
      <x:c r="C26" s="111" t="str">
        <x:v>Legal, trust, and creator onboarding</x:v>
      </x:c>
      <x:c r="D26" s="111" t="str"/>
      <x:c r="E26" s="111" t="str">
        <x:v>Legacy-mapped task</x:v>
      </x:c>
      <x:c r="F26" s="111" t="str">
        <x:v>Legal &amp; compliance</x:v>
      </x:c>
      <x:c r="G26" s="111" t="str">
        <x:v>Draft Non-Consensual Content Policy</x:v>
      </x:c>
      <x:c r="H26" s="111" t="str">
        <x:v>Not Started</x:v>
      </x:c>
      <x:c r="I26" s="111" t="str">
        <x:v>N/A</x:v>
      </x:c>
      <x:c r="J26" s="111" t="str">
        <x:v>High</x:v>
      </x:c>
      <x:c r="K26" s="111" t="str">
        <x:v>Founder</x:v>
      </x:c>
      <x:c r="L26" s="111" t="str">
        <x:v>Founder + provider response</x:v>
      </x:c>
      <x:c r="M26" s="111" t="str">
        <x:v>Confirm dependencies and owner, then define the first deliverable.</x:v>
      </x:c>
      <x:c r="N26" s="112"/>
      <x:c r="O26" s="111" t="str"/>
      <x:c r="P26" s="112" t="n">
        <x:v>46250.666666666664</x:v>
      </x:c>
      <x:c r="Q26" s="111" t="str">
        <x:v>Standalone policy prohibiting NCII. Define removal process, reporting path, and creator obligations.</x:v>
      </x:c>
      <x:c r="R26" s="111" t="str">
        <x:v>Must be its own doc for payment processor and Visa/MC BRAM review.</x:v>
      </x:c>
      <x:c r="S26" s="111" t="str">
        <x:v>Preserved Master Tracker row 28; legacy status: 📋 Not Started</x:v>
      </x:c>
    </x:row>
    <x:row r="27" ht="46" customHeight="1">
      <x:c r="A27" s="111" t="str">
        <x:v>LEG-MT-029</x:v>
      </x:c>
      <x:c r="B27" s="111" t="str">
        <x:v>P04</x:v>
      </x:c>
      <x:c r="C27" s="111" t="str">
        <x:v>Legal, trust, and creator onboarding</x:v>
      </x:c>
      <x:c r="D27" s="111" t="str"/>
      <x:c r="E27" s="111" t="str">
        <x:v>Legacy-mapped task</x:v>
      </x:c>
      <x:c r="F27" s="111" t="str">
        <x:v>Legal &amp; compliance</x:v>
      </x:c>
      <x:c r="G27" s="111" t="str">
        <x:v>Implement US Take It Down Act Compliance</x:v>
      </x:c>
      <x:c r="H27" s="111" t="str">
        <x:v>Not Started</x:v>
      </x:c>
      <x:c r="I27" s="111" t="str">
        <x:v>N/A</x:v>
      </x:c>
      <x:c r="J27" s="111" t="str">
        <x:v>High</x:v>
      </x:c>
      <x:c r="K27" s="111" t="str">
        <x:v>Engineering</x:v>
      </x:c>
      <x:c r="L27" s="111" t="str"/>
      <x:c r="M27" s="111" t="str">
        <x:v>Confirm dependencies and owner, then define the first deliverable.</x:v>
      </x:c>
      <x:c r="N27" s="112"/>
      <x:c r="O27" s="111" t="str"/>
      <x:c r="P27" s="112" t="n">
        <x:v>46250.666666666664</x:v>
      </x:c>
      <x:c r="Q27" s="111" t="str">
        <x:v>Written policy + removal workflow for non-consensual intimate images. Must action valid removal within 48 hours.</x:v>
      </x:c>
      <x:c r="R27" s="111" t="str">
        <x:v>Federal law signed 2025. Non-compliance is a federal offense.</x:v>
      </x:c>
      <x:c r="S27" s="111" t="str">
        <x:v>Preserved Master Tracker row 29; legacy status: 📋 Not Started</x:v>
      </x:c>
    </x:row>
    <x:row r="28" ht="46" customHeight="1">
      <x:c r="A28" s="111" t="str">
        <x:v>LEG-MT-030</x:v>
      </x:c>
      <x:c r="B28" s="111" t="str">
        <x:v>P04</x:v>
      </x:c>
      <x:c r="C28" s="111" t="str">
        <x:v>Legal, trust, and creator onboarding</x:v>
      </x:c>
      <x:c r="D28" s="111" t="str"/>
      <x:c r="E28" s="111" t="str">
        <x:v>Legacy-mapped task</x:v>
      </x:c>
      <x:c r="F28" s="111" t="str">
        <x:v>Legal &amp; compliance</x:v>
      </x:c>
      <x:c r="G28" s="111" t="str">
        <x:v>Draft Law Enforcement Request Policy</x:v>
      </x:c>
      <x:c r="H28" s="111" t="str">
        <x:v>Not Started</x:v>
      </x:c>
      <x:c r="I28" s="111" t="str">
        <x:v>N/A</x:v>
      </x:c>
      <x:c r="J28" s="111" t="str">
        <x:v>High</x:v>
      </x:c>
      <x:c r="K28" s="111" t="str">
        <x:v>Founder</x:v>
      </x:c>
      <x:c r="L28" s="111" t="str">
        <x:v>Counsel / founder decision</x:v>
      </x:c>
      <x:c r="M28" s="111" t="str">
        <x:v>Confirm dependencies and owner, then define the first deliverable.</x:v>
      </x:c>
      <x:c r="N28" s="112"/>
      <x:c r="O28" s="111" t="str"/>
      <x:c r="P28" s="112" t="n">
        <x:v>46250.666666666664</x:v>
      </x:c>
      <x:c r="Q28" s="111" t="str">
        <x:v>Define process for handling government and LEA data requests — disclosure, legal basis, user notification.</x:v>
      </x:c>
      <x:c r="R28" s="111" t="str">
        <x:v>Commonly reviewed during CCBill/Epoch onboarding.</x:v>
      </x:c>
      <x:c r="S28" s="111" t="str">
        <x:v>Preserved Master Tracker row 30; legacy status: 📋 Not Started</x:v>
      </x:c>
    </x:row>
    <x:row r="29" ht="46" customHeight="1">
      <x:c r="A29" s="111" t="str">
        <x:v>LEG-MT-031</x:v>
      </x:c>
      <x:c r="B29" s="111" t="str">
        <x:v>P04</x:v>
      </x:c>
      <x:c r="C29" s="111" t="str">
        <x:v>Legal, trust, and creator onboarding</x:v>
      </x:c>
      <x:c r="D29" s="111" t="str"/>
      <x:c r="E29" s="111" t="str">
        <x:v>Legacy-mapped task</x:v>
      </x:c>
      <x:c r="F29" s="111" t="str">
        <x:v>Legal &amp; compliance</x:v>
      </x:c>
      <x:c r="G29" s="111" t="str">
        <x:v>Draft Appeals Policy</x:v>
      </x:c>
      <x:c r="H29" s="111" t="str">
        <x:v>Not Started</x:v>
      </x:c>
      <x:c r="I29" s="111" t="str">
        <x:v>N/A</x:v>
      </x:c>
      <x:c r="J29" s="111" t="str">
        <x:v>Critical</x:v>
      </x:c>
      <x:c r="K29" s="111" t="str">
        <x:v>Founder</x:v>
      </x:c>
      <x:c r="L29" s="111" t="str"/>
      <x:c r="M29" s="111" t="str">
        <x:v>Confirm dependencies and owner, then define the first deliverable.</x:v>
      </x:c>
      <x:c r="N29" s="112"/>
      <x:c r="O29" s="111" t="str"/>
      <x:c r="P29" s="112" t="n">
        <x:v>46250.666666666664</x:v>
      </x:c>
      <x:c r="Q29" s="111" t="str">
        <x:v>Documented process for creators and members to appeal content removals, account suspensions, or payment holds.</x:v>
      </x:c>
      <x:c r="R29" s="111" t="str">
        <x:v>Needed before creator onboarding begins.</x:v>
      </x:c>
      <x:c r="S29" s="111" t="str">
        <x:v>Preserved Master Tracker row 31; legacy status: 📋 Not Started</x:v>
      </x:c>
    </x:row>
    <x:row r="30" ht="46" customHeight="1">
      <x:c r="A30" s="111" t="str">
        <x:v>LEG-MT-032</x:v>
      </x:c>
      <x:c r="B30" s="111" t="str">
        <x:v>P04</x:v>
      </x:c>
      <x:c r="C30" s="111" t="str">
        <x:v>Legal, trust, and creator onboarding</x:v>
      </x:c>
      <x:c r="D30" s="111" t="str"/>
      <x:c r="E30" s="111" t="str">
        <x:v>Legacy-mapped task</x:v>
      </x:c>
      <x:c r="F30" s="111" t="str">
        <x:v>Legal &amp; compliance</x:v>
      </x:c>
      <x:c r="G30" s="111" t="str">
        <x:v>Draft Complaint Policy</x:v>
      </x:c>
      <x:c r="H30" s="111" t="str">
        <x:v>Not Started</x:v>
      </x:c>
      <x:c r="I30" s="111" t="str">
        <x:v>N/A</x:v>
      </x:c>
      <x:c r="J30" s="111" t="str">
        <x:v>High</x:v>
      </x:c>
      <x:c r="K30" s="111" t="str">
        <x:v>Founder</x:v>
      </x:c>
      <x:c r="L30" s="111" t="str"/>
      <x:c r="M30" s="111" t="str">
        <x:v>Confirm dependencies and owner, then define the first deliverable.</x:v>
      </x:c>
      <x:c r="N30" s="112"/>
      <x:c r="O30" s="111" t="str"/>
      <x:c r="P30" s="112" t="n">
        <x:v>46250.666666666664</x:v>
      </x:c>
      <x:c r="Q30" s="111" t="str">
        <x:v>Formal intake process for user complaints beyond DMCA — billing disputes, harassment, platform conduct.</x:v>
      </x:c>
      <x:c r="R30" s="111" t="str">
        <x:v>Best practice globally; supports EU DSA/P2B compliance.</x:v>
      </x:c>
      <x:c r="S30" s="111" t="str">
        <x:v>Preserved Master Tracker row 32; legacy status: 📋 Not Started</x:v>
      </x:c>
    </x:row>
    <x:row r="31" ht="46" customHeight="1">
      <x:c r="A31" s="111" t="str">
        <x:v>LEG-MT-033</x:v>
      </x:c>
      <x:c r="B31" s="111" t="str">
        <x:v>P04</x:v>
      </x:c>
      <x:c r="C31" s="111" t="str">
        <x:v>Legal, trust, and creator onboarding</x:v>
      </x:c>
      <x:c r="D31" s="111" t="str"/>
      <x:c r="E31" s="111" t="str">
        <x:v>Legacy-mapped task</x:v>
      </x:c>
      <x:c r="F31" s="111" t="str">
        <x:v>Legal &amp; compliance</x:v>
      </x:c>
      <x:c r="G31" s="111" t="str">
        <x:v>Draft Anti-Spam Policy</x:v>
      </x:c>
      <x:c r="H31" s="111" t="str">
        <x:v>Not Started</x:v>
      </x:c>
      <x:c r="I31" s="111" t="str">
        <x:v>N/A</x:v>
      </x:c>
      <x:c r="J31" s="111" t="str">
        <x:v>High</x:v>
      </x:c>
      <x:c r="K31" s="111" t="str">
        <x:v>Founder</x:v>
      </x:c>
      <x:c r="L31" s="111" t="str"/>
      <x:c r="M31" s="111" t="str">
        <x:v>Confirm dependencies and owner, then define the first deliverable.</x:v>
      </x:c>
      <x:c r="N31" s="112"/>
      <x:c r="O31" s="111" t="str"/>
      <x:c r="P31" s="112" t="n">
        <x:v>46250.666666666664</x:v>
      </x:c>
      <x:c r="Q31" s="111" t="str">
        <x:v>Rules governing creator messaging to members, platform notifications, and marketing emails.</x:v>
      </x:c>
      <x:c r="R31" s="111" t="str">
        <x:v>Needed before the email/notification system goes live.</x:v>
      </x:c>
      <x:c r="S31" s="111" t="str">
        <x:v>Preserved Master Tracker row 33; legacy status: 📋 Not Started</x:v>
      </x:c>
    </x:row>
    <x:row r="32" ht="46" customHeight="1">
      <x:c r="A32" s="111" t="str">
        <x:v>LEG-MT-034</x:v>
      </x:c>
      <x:c r="B32" s="111" t="str">
        <x:v>P04</x:v>
      </x:c>
      <x:c r="C32" s="111" t="str">
        <x:v>Legal, trust, and creator onboarding</x:v>
      </x:c>
      <x:c r="D32" s="111" t="str"/>
      <x:c r="E32" s="111" t="str">
        <x:v>Legacy-mapped task</x:v>
      </x:c>
      <x:c r="F32" s="111" t="str">
        <x:v>Legal &amp; compliance</x:v>
      </x:c>
      <x:c r="G32" s="111" t="str">
        <x:v>Draft Platform-to-Business (P2B) Terms</x:v>
      </x:c>
      <x:c r="H32" s="111" t="str">
        <x:v>Not Started</x:v>
      </x:c>
      <x:c r="I32" s="111" t="str">
        <x:v>N/A</x:v>
      </x:c>
      <x:c r="J32" s="111" t="str">
        <x:v>Medium</x:v>
      </x:c>
      <x:c r="K32" s="111" t="str">
        <x:v>Founder</x:v>
      </x:c>
      <x:c r="L32" s="111" t="str"/>
      <x:c r="M32" s="111" t="str">
        <x:v>Confirm dependencies and owner, then define the first deliverable.</x:v>
      </x:c>
      <x:c r="N32" s="112"/>
      <x:c r="O32" s="111" t="str"/>
      <x:c r="P32" s="112" t="n">
        <x:v>46250.666666666664</x:v>
      </x:c>
      <x:c r="Q32" s="111" t="str">
        <x:v>EU P2B regulation disclosure for creators — ranking criteria, access termination conditions, dispute options.</x:v>
      </x:c>
      <x:c r="R32" s="111" t="str">
        <x:v>Conditional on EU launch scope. Low effort to draft.</x:v>
      </x:c>
      <x:c r="S32" s="111" t="str">
        <x:v>Preserved Master Tracker row 34; legacy status: 📋 Not Started</x:v>
      </x:c>
    </x:row>
    <x:row r="33" ht="46" customHeight="1">
      <x:c r="A33" s="111" t="str">
        <x:v>LEG-MT-036</x:v>
      </x:c>
      <x:c r="B33" s="111" t="str">
        <x:v>P01</x:v>
      </x:c>
      <x:c r="C33" s="111" t="str">
        <x:v>Repository and frontend foundation</x:v>
      </x:c>
      <x:c r="D33" s="111" t="str"/>
      <x:c r="E33" s="111" t="str">
        <x:v>Legacy-mapped task</x:v>
      </x:c>
      <x:c r="F33" s="111" t="str">
        <x:v>Repository and frontend foundation</x:v>
      </x:c>
      <x:c r="G33" s="111" t="str">
        <x:v>Finalize brand aesthetic &amp; color system</x:v>
      </x:c>
      <x:c r="H33" s="111" t="str">
        <x:v>Done</x:v>
      </x:c>
      <x:c r="I33" s="111" t="str">
        <x:v>Decision Locked</x:v>
      </x:c>
      <x:c r="J33" s="111" t="str">
        <x:v>Low</x:v>
      </x:c>
      <x:c r="K33" s="111" t="str">
        <x:v>Engineering</x:v>
      </x:c>
      <x:c r="L33" s="111" t="str"/>
      <x:c r="M33" s="111" t="str">
        <x:v>No action; reopen only if the approved scope changes.</x:v>
      </x:c>
      <x:c r="N33" s="112"/>
      <x:c r="O33" s="111" t="str"/>
      <x:c r="P33" s="112" t="n">
        <x:v>46250.666666666664</x:v>
      </x:c>
      <x:c r="Q33" s="111" t="str">
        <x:v>Confirm pink / sakura visual direction and supporting palette.</x:v>
      </x:c>
      <x:c r="R33" s="111" t="str">
        <x:v>Brand direction established.</x:v>
      </x:c>
      <x:c r="S33" s="111" t="str">
        <x:v>Preserved Master Tracker row 36; legacy status: ✅ Done</x:v>
      </x:c>
    </x:row>
    <x:row r="34" ht="46" customHeight="1">
      <x:c r="A34" s="111" t="str">
        <x:v>LEG-MT-037</x:v>
      </x:c>
      <x:c r="B34" s="111" t="str">
        <x:v>P01</x:v>
      </x:c>
      <x:c r="C34" s="111" t="str">
        <x:v>Repository and frontend foundation</x:v>
      </x:c>
      <x:c r="D34" s="111" t="str"/>
      <x:c r="E34" s="111" t="str">
        <x:v>Legacy-mapped task</x:v>
      </x:c>
      <x:c r="F34" s="111" t="str">
        <x:v>Repository and frontend foundation</x:v>
      </x:c>
      <x:c r="G34" s="111" t="str">
        <x:v>Finalize logo / wordmark</x:v>
      </x:c>
      <x:c r="H34" s="111" t="str">
        <x:v>In Progress</x:v>
      </x:c>
      <x:c r="I34" s="111" t="str">
        <x:v>Decision Locked</x:v>
      </x:c>
      <x:c r="J34" s="111" t="str">
        <x:v>Medium</x:v>
      </x:c>
      <x:c r="K34" s="111" t="str">
        <x:v>Engineering</x:v>
      </x:c>
      <x:c r="L34" s="111" t="str"/>
      <x:c r="M34" s="111" t="str">
        <x:v>Close the remaining gap: Direction exists; final asset lock not confirmed.</x:v>
      </x:c>
      <x:c r="N34" s="112"/>
      <x:c r="O34" s="111" t="str"/>
      <x:c r="P34" s="112" t="n">
        <x:v>46250.666666666664</x:v>
      </x:c>
      <x:c r="Q34" s="111" t="str">
        <x:v>Lock minimal premium wordmark. Symbol: heart + sakura petal + heartbeat + rounded sans-serif.</x:v>
      </x:c>
      <x:c r="R34" s="111" t="str">
        <x:v>Direction exists; final asset lock not confirmed.</x:v>
      </x:c>
      <x:c r="S34" s="111" t="str">
        <x:v>Preserved Master Tracker row 37; legacy status: 🔄 In Progress</x:v>
      </x:c>
    </x:row>
    <x:row r="35" ht="46" customHeight="1">
      <x:c r="A35" s="111" t="str">
        <x:v>LEG-MT-038</x:v>
      </x:c>
      <x:c r="B35" s="111" t="str">
        <x:v>P01</x:v>
      </x:c>
      <x:c r="C35" s="111" t="str">
        <x:v>Repository and frontend foundation</x:v>
      </x:c>
      <x:c r="D35" s="111" t="str"/>
      <x:c r="E35" s="111" t="str">
        <x:v>Legacy-mapped task</x:v>
      </x:c>
      <x:c r="F35" s="111" t="str">
        <x:v>Repository and frontend foundation</x:v>
      </x:c>
      <x:c r="G35" s="111" t="str">
        <x:v>Finalize homepage messaging</x:v>
      </x:c>
      <x:c r="H35" s="111" t="str">
        <x:v>In Progress</x:v>
      </x:c>
      <x:c r="I35" s="111" t="str">
        <x:v>Decision Locked</x:v>
      </x:c>
      <x:c r="J35" s="111" t="str">
        <x:v>Medium</x:v>
      </x:c>
      <x:c r="K35" s="111" t="str">
        <x:v>Engineering</x:v>
      </x:c>
      <x:c r="L35" s="111" t="str"/>
      <x:c r="M35" s="111" t="str">
        <x:v>Close the remaining gap: Draft messaging exists; final copy not confirmed.</x:v>
      </x:c>
      <x:c r="N35" s="112"/>
      <x:c r="O35" s="111" t="str"/>
      <x:c r="P35" s="112" t="n">
        <x:v>46250.666666666664</x:v>
      </x:c>
      <x:c r="Q35" s="111" t="str">
        <x:v>Polish hero copy, value prop, marketing text. Avoid 'Softer'; feel inclusive, not creator-first.</x:v>
      </x:c>
      <x:c r="R35" s="111" t="str">
        <x:v>Draft messaging exists; final copy not confirmed.</x:v>
      </x:c>
      <x:c r="S35" s="111" t="str">
        <x:v>Preserved Master Tracker row 38; legacy status: 🔄 In Progress</x:v>
      </x:c>
    </x:row>
    <x:row r="36" ht="46" customHeight="1">
      <x:c r="A36" s="111" t="str">
        <x:v>LEG-MT-039</x:v>
      </x:c>
      <x:c r="B36" s="111" t="str">
        <x:v>P01</x:v>
      </x:c>
      <x:c r="C36" s="111" t="str">
        <x:v>Repository and frontend foundation</x:v>
      </x:c>
      <x:c r="D36" s="111" t="str"/>
      <x:c r="E36" s="111" t="str">
        <x:v>Legacy-mapped task</x:v>
      </x:c>
      <x:c r="F36" s="111" t="str">
        <x:v>Repository and frontend foundation</x:v>
      </x:c>
      <x:c r="G36" s="111" t="str">
        <x:v>Define creator theme ladders</x:v>
      </x:c>
      <x:c r="H36" s="111" t="str">
        <x:v>Done</x:v>
      </x:c>
      <x:c r="I36" s="111" t="str">
        <x:v>Decision Locked</x:v>
      </x:c>
      <x:c r="J36" s="111" t="str">
        <x:v>Low</x:v>
      </x:c>
      <x:c r="K36" s="111" t="str">
        <x:v>Engineering</x:v>
      </x:c>
      <x:c r="L36" s="111" t="str"/>
      <x:c r="M36" s="111" t="str">
        <x:v>No action; reopen only if the approved scope changes.</x:v>
      </x:c>
      <x:c r="N36" s="112"/>
      <x:c r="O36" s="111" t="str"/>
      <x:c r="P36" s="112" t="n">
        <x:v>46250.666666666664</x:v>
      </x:c>
      <x:c r="Q36" s="111" t="str">
        <x:v>Floral: Petal→Bloom→Sakura→Golden Sakura→Eternal Sakura. Ember: Ember→Ignite→Flare→Inferno→Eternal Flame.</x:v>
      </x:c>
      <x:c r="R36" s="111" t="str">
        <x:v>Theme ladder concepts defined.</x:v>
      </x:c>
      <x:c r="S36" s="111" t="str">
        <x:v>Preserved Master Tracker row 39; legacy status: ✅ Done</x:v>
      </x:c>
    </x:row>
    <x:row r="37" ht="46" customHeight="1">
      <x:c r="A37" s="111" t="str">
        <x:v>LEG-MT-040</x:v>
      </x:c>
      <x:c r="B37" s="111" t="str">
        <x:v>P01</x:v>
      </x:c>
      <x:c r="C37" s="111" t="str">
        <x:v>Repository and frontend foundation</x:v>
      </x:c>
      <x:c r="D37" s="111" t="str"/>
      <x:c r="E37" s="111" t="str">
        <x:v>Legacy-mapped task</x:v>
      </x:c>
      <x:c r="F37" s="111" t="str">
        <x:v>Repository and frontend foundation</x:v>
      </x:c>
      <x:c r="G37" s="111" t="str">
        <x:v>Build reusable design system</x:v>
      </x:c>
      <x:c r="H37" s="111" t="str">
        <x:v>In Progress</x:v>
      </x:c>
      <x:c r="I37" s="111" t="str">
        <x:v>Decision Locked</x:v>
      </x:c>
      <x:c r="J37" s="111" t="str">
        <x:v>Medium</x:v>
      </x:c>
      <x:c r="K37" s="111" t="str">
        <x:v>Engineering</x:v>
      </x:c>
      <x:c r="L37" s="111" t="str"/>
      <x:c r="M37" s="111" t="str">
        <x:v>Close the remaining gap: Implied by active UI/front-end development.</x:v>
      </x:c>
      <x:c r="N37" s="112"/>
      <x:c r="O37" s="111" t="str"/>
      <x:c r="P37" s="112" t="n">
        <x:v>46250.666666666664</x:v>
      </x:c>
      <x:c r="Q37" s="111" t="str">
        <x:v>Buttons, cards, tabs, modals, badges, pricing modules, feed cards, locked-content previews.</x:v>
      </x:c>
      <x:c r="R37" s="111" t="str">
        <x:v>Implied by active UI/front-end development.</x:v>
      </x:c>
      <x:c r="S37" s="111" t="str">
        <x:v>Preserved Master Tracker row 40; legacy status: 🔄 In Progress</x:v>
      </x:c>
    </x:row>
    <x:row r="38" ht="46" customHeight="1">
      <x:c r="A38" s="111" t="str">
        <x:v>LEG-MT-041</x:v>
      </x:c>
      <x:c r="B38" s="111" t="str">
        <x:v>P13</x:v>
      </x:c>
      <x:c r="C38" s="111" t="str">
        <x:v>Internationalization and accessibility</x:v>
      </x:c>
      <x:c r="D38" s="111" t="str">
        <x:v>P01</x:v>
      </x:c>
      <x:c r="E38" s="111" t="str">
        <x:v>Legacy-mapped task</x:v>
      </x:c>
      <x:c r="F38" s="111" t="str">
        <x:v>Internationalization and accessibility</x:v>
      </x:c>
      <x:c r="G38" s="111" t="str">
        <x:v>Finalize responsive / mobile layouts</x:v>
      </x:c>
      <x:c r="H38" s="111" t="str">
        <x:v>In Progress</x:v>
      </x:c>
      <x:c r="I38" s="111" t="str">
        <x:v>Decision Locked</x:v>
      </x:c>
      <x:c r="J38" s="111" t="str">
        <x:v>Medium</x:v>
      </x:c>
      <x:c r="K38" s="111" t="str">
        <x:v>Engineering</x:v>
      </x:c>
      <x:c r="L38" s="111" t="str"/>
      <x:c r="M38" s="111" t="str">
        <x:v>Close the remaining gap: Responsive work remains active.</x:v>
      </x:c>
      <x:c r="N38" s="112"/>
      <x:c r="O38" s="111" t="str"/>
      <x:c r="P38" s="112" t="n">
        <x:v>46250.666666666664</x:v>
      </x:c>
      <x:c r="Q38" s="111" t="str">
        <x:v>Ensure primary flows work cleanly on mobile and desktop.</x:v>
      </x:c>
      <x:c r="R38" s="111" t="str">
        <x:v>Responsive work remains active. A session-aware branded 404, route-level code splitting, and an in-flow dismissible verification reminder are merged and CI-covered on desktop/mobile paths.</x:v>
      </x:c>
      <x:c r="S38" s="111" t="str">
        <x:v>Preserved Master Tracker row 41; legacy status: 🔄 In Progress</x:v>
      </x:c>
    </x:row>
    <x:row r="39" ht="46" customHeight="1">
      <x:c r="A39" s="111" t="str">
        <x:v>LEG-MT-042</x:v>
      </x:c>
      <x:c r="B39" s="111" t="str">
        <x:v>P01</x:v>
      </x:c>
      <x:c r="C39" s="111" t="str">
        <x:v>Repository and frontend foundation</x:v>
      </x:c>
      <x:c r="D39" s="111" t="str"/>
      <x:c r="E39" s="111" t="str">
        <x:v>Legacy-mapped task</x:v>
      </x:c>
      <x:c r="F39" s="111" t="str">
        <x:v>Repository and frontend foundation</x:v>
      </x:c>
      <x:c r="G39" s="111" t="str">
        <x:v>Implement Midnight City theme</x:v>
      </x:c>
      <x:c r="H39" s="111" t="str">
        <x:v>Done</x:v>
      </x:c>
      <x:c r="I39" s="111" t="str">
        <x:v>Integrated</x:v>
      </x:c>
      <x:c r="J39" s="111" t="str">
        <x:v>Medium</x:v>
      </x:c>
      <x:c r="K39" s="111" t="str">
        <x:v>Engineering</x:v>
      </x:c>
      <x:c r="L39" s="111" t="str"/>
      <x:c r="M39" s="111" t="str">
        <x:v>Browser-local static theme scope is complete. Account-synced preferences remain separate future work.</x:v>
      </x:c>
      <x:c r="N39" s="112"/>
      <x:c r="O39" s="111" t="str">
        <x:v>0f01961 (#19); apps/web/src/appearance/memberThemeContext.js; MemberThemeProvider.test.jsx; staticBackgroundAssets.test.js; README.md</x:v>
      </x:c>
      <x:c r="P39" s="112" t="n">
        <x:v>46275.666666666664</x:v>
      </x:c>
      <x:c r="Q39" s="111" t="str">
        <x:v>Second free theme alongside Sakura Kiss. Blue city rooftops with static desktop/mobile JPG backgrounds. Settings Appearance chooser stores the preference in this browser.</x:v>
      </x:c>
      <x:c r="R39" s="111" t="str">
        <x:v>Published implementation; switching and saved preference restoration are tested. Static asset tests cover desktop/mobile JPGs and absence of background video. Internal DARK_KNIGHT key is retained for stored-preference compatibility.</x:v>
      </x:c>
      <x:c r="S39" s="111" t="str">
        <x:v>Master Tracker row 42; theme completion reconciled September 10, 2026.</x:v>
      </x:c>
    </x:row>
    <x:row r="40" ht="46" customHeight="1">
      <x:c r="A40" s="111" t="str">
        <x:v>LEG-MT-043</x:v>
      </x:c>
      <x:c r="B40" s="111" t="str">
        <x:v>P06</x:v>
      </x:c>
      <x:c r="C40" s="111" t="str">
        <x:v>Payments, subscriptions, tipping, and PPV</x:v>
      </x:c>
      <x:c r="D40" s="111" t="str">
        <x:v>P10, P11</x:v>
      </x:c>
      <x:c r="E40" s="111" t="str">
        <x:v>Legacy-mapped task</x:v>
      </x:c>
      <x:c r="F40" s="111" t="str">
        <x:v>Payments &amp; entitlements</x:v>
      </x:c>
      <x:c r="G40" s="111" t="str">
        <x:v>Design Founding Creator / Member badge program</x:v>
      </x:c>
      <x:c r="H40" s="111" t="str">
        <x:v>Not Started</x:v>
      </x:c>
      <x:c r="I40" s="111" t="str">
        <x:v>N/A</x:v>
      </x:c>
      <x:c r="J40" s="111" t="str">
        <x:v>Medium</x:v>
      </x:c>
      <x:c r="K40" s="111" t="str">
        <x:v>Engineering</x:v>
      </x:c>
      <x:c r="L40" s="111" t="str"/>
      <x:c r="M40" s="111" t="str">
        <x:v>Define founder badge and a fee that recovers attributable costs without profit on founding creator sales. Duration, covered costs and no-loss economics need validation.</x:v>
      </x:c>
      <x:c r="N40" s="112"/>
      <x:c r="O40" s="111" t="str"/>
      <x:c r="P40" s="112" t="n">
        <x:v>46271.666666666664</x:v>
      </x:c>
      <x:c r="Q40" s="111" t="str">
        <x:v>Define badge visuals, eligibility window (first N users or date window), locked-in fee reduction for Founding Creators, badge display on profiles and posts.</x:v>
      </x:c>
      <x:c r="R40" s="111" t="str">
        <x:v>Founder answers reviewed September 6, 2026: processing-fees-only superseded. Two contacts may recruit 50–100 prospects, not commitments. Longer target ~500; Plus/top 100 rewards remain provisional.</x:v>
      </x:c>
      <x:c r="S40" s="111" t="str">
        <x:v>Preserved Master Tracker row 43; legacy status: 📋 Not Started</x:v>
      </x:c>
    </x:row>
    <x:row r="41" ht="46" customHeight="1">
      <x:c r="A41" s="111" t="str">
        <x:v>LEG-MT-045</x:v>
      </x:c>
      <x:c r="B41" s="111" t="str">
        <x:v>P02</x:v>
      </x:c>
      <x:c r="C41" s="111" t="str">
        <x:v>Backend and database foundation</x:v>
      </x:c>
      <x:c r="D41" s="111" t="str"/>
      <x:c r="E41" s="111" t="str">
        <x:v>Legacy-mapped task</x:v>
      </x:c>
      <x:c r="F41" s="111" t="str">
        <x:v>Backend and database foundation</x:v>
      </x:c>
      <x:c r="G41" s="111" t="str">
        <x:v>Define AWS architecture</x:v>
      </x:c>
      <x:c r="H41" s="111" t="str">
        <x:v>Done</x:v>
      </x:c>
      <x:c r="I41" s="111" t="str">
        <x:v>Decision Locked</x:v>
      </x:c>
      <x:c r="J41" s="111" t="str">
        <x:v>Low</x:v>
      </x:c>
      <x:c r="K41" s="111" t="str">
        <x:v>Engineering</x:v>
      </x:c>
      <x:c r="L41" s="111" t="str"/>
      <x:c r="M41" s="111" t="str">
        <x:v>No action; reopen only if the approved scope changes.</x:v>
      </x:c>
      <x:c r="N41" s="112"/>
      <x:c r="O41" s="111" t="str"/>
      <x:c r="P41" s="112" t="n">
        <x:v>46250.666666666664</x:v>
      </x:c>
      <x:c r="Q41" s="111" t="str">
        <x:v>EC2/ECS for app, RDS PostgreSQL for DB, Cloudflare R2 for media storage/CDN.</x:v>
      </x:c>
      <x:c r="R41" s="111" t="str">
        <x:v>AWS (app/DB) + Cloudflare R2 (media) confirmed.</x:v>
      </x:c>
      <x:c r="S41" s="111" t="str">
        <x:v>Preserved Master Tracker row 45; legacy status: ✅ Done</x:v>
      </x:c>
    </x:row>
    <x:row r="42" ht="46" customHeight="1">
      <x:c r="A42" s="111" t="str">
        <x:v>LEG-MT-046</x:v>
      </x:c>
      <x:c r="B42" s="111" t="str">
        <x:v>P05</x:v>
      </x:c>
      <x:c r="C42" s="111" t="str">
        <x:v>Media pipeline and content model</x:v>
      </x:c>
      <x:c r="D42" s="111" t="str"/>
      <x:c r="E42" s="111" t="str">
        <x:v>Legacy-mapped task</x:v>
      </x:c>
      <x:c r="F42" s="111" t="str">
        <x:v>Media pipeline and content model</x:v>
      </x:c>
      <x:c r="G42" s="111" t="str">
        <x:v>Set up Cloudflare R2 media storage</x:v>
      </x:c>
      <x:c r="H42" s="111" t="str">
        <x:v>In Progress</x:v>
      </x:c>
      <x:c r="I42" s="111" t="str">
        <x:v>Integrated</x:v>
      </x:c>
      <x:c r="J42" s="111" t="str">
        <x:v>Medium</x:v>
      </x:c>
      <x:c r="K42" s="111" t="str">
        <x:v>Engineering</x:v>
      </x:c>
      <x:c r="L42" s="111" t="str"/>
      <x:c r="M42" s="111" t="str">
        <x:v>Broader storage scope remains: signed delivery, CDN caching, retention/garbage collection and recovery/production hardening.</x:v>
      </x:c>
      <x:c r="N42" s="112"/>
      <x:c r="O42" s="111" t="str">
        <x:v>HANDOFF.md lines 120–151; docs/architecture/phase5-local-content-flow.md; apps/api/src/content/r2.ts; 86 targeted tests and both R2 browser checks passed.</x:v>
      </x:c>
      <x:c r="P42" s="112" t="n">
        <x:v>46275.666666666664</x:v>
      </x:c>
      <x:c r="Q42" s="111" t="str">
        <x:v>Private safe-sample R2 bucket and API integration verified. Signed delivery, CDN caching and production storage lifecycle/recovery remain pending.</x:v>
      </x:c>
      <x:c r="R42" s="111" t="str">
        <x:v>R2 activated ($0 due), private review bucket created, Public Access Disabled. Safe PNG/MP4 uploads, authenticated API reads, restart persistence, removal and browser checks passed. Adult-business acceptance unconfirmed; not production-ready.</x:v>
      </x:c>
      <x:c r="S42" s="111" t="str">
        <x:v>Master Tracker row 46; safe-sample R2 milestone reconciled September 10, 2026.</x:v>
      </x:c>
    </x:row>
    <x:row r="43" ht="46" customHeight="1">
      <x:c r="A43" s="111" t="str">
        <x:v>LEG-MT-047</x:v>
      </x:c>
      <x:c r="B43" s="111" t="str">
        <x:v>P02</x:v>
      </x:c>
      <x:c r="C43" s="111" t="str">
        <x:v>Backend and database foundation</x:v>
      </x:c>
      <x:c r="D43" s="111" t="str"/>
      <x:c r="E43" s="111" t="str">
        <x:v>Legacy-mapped task</x:v>
      </x:c>
      <x:c r="F43" s="111" t="str">
        <x:v>Backend and database foundation</x:v>
      </x:c>
      <x:c r="G43" s="111" t="str">
        <x:v>Define RDS PostgreSQL schema</x:v>
      </x:c>
      <x:c r="H43" s="111" t="str">
        <x:v>In Progress</x:v>
      </x:c>
      <x:c r="I43" s="111" t="str">
        <x:v>Decision Locked</x:v>
      </x:c>
      <x:c r="J43" s="111" t="str">
        <x:v>Medium</x:v>
      </x:c>
      <x:c r="K43" s="111" t="str">
        <x:v>Engineering</x:v>
      </x:c>
      <x:c r="L43" s="111" t="str"/>
      <x:c r="M43" s="111" t="str">
        <x:v>Close the remaining gap: Local PostgreSQL/Prisma includes User, Session, append-only AcceptanceRecord, VerificationToken, UserPreference, CreatorApplication, creator-policy acceptance, and constrained successful-transition review evidence.</x:v>
      </x:c>
      <x:c r="N43" s="112"/>
      <x:c r="O43" s="111" t="str"/>
      <x:c r="P43" s="112" t="n">
        <x:v>46274.666666666664</x:v>
      </x:c>
      <x:c r="Q43" s="111" t="str">
        <x:v>Model users, creators, posts, subscriptions, plans, transactions and moderation as needed.</x:v>
      </x:c>
      <x:c r="R43" s="111" t="str">
        <x:v>Local PostgreSQL/Prisma includes User, Session, append-only AcceptanceRecord, VerificationToken, UserPreference, CreatorApplication, creator-policy acceptance, and constrained successful-transition review evidence. Remaining product domains and production RDS deployment are pending.</x:v>
      </x:c>
      <x:c r="S43" s="111" t="str">
        <x:v>Preserved Master Tracker row 47; legacy status: 🔄 In Progress</x:v>
      </x:c>
    </x:row>
    <x:row r="44" ht="46" customHeight="1">
      <x:c r="A44" s="111" t="str">
        <x:v>LEG-MT-048</x:v>
      </x:c>
      <x:c r="B44" s="111" t="str">
        <x:v>P02</x:v>
      </x:c>
      <x:c r="C44" s="111" t="str">
        <x:v>Backend and database foundation</x:v>
      </x:c>
      <x:c r="D44" s="111" t="str"/>
      <x:c r="E44" s="111" t="str">
        <x:v>Legacy-mapped task</x:v>
      </x:c>
      <x:c r="F44" s="111" t="str">
        <x:v>Backend and database foundation</x:v>
      </x:c>
      <x:c r="G44" s="111" t="str">
        <x:v>Set up local / staging / prod environments</x:v>
      </x:c>
      <x:c r="H44" s="111" t="str">
        <x:v>In Progress</x:v>
      </x:c>
      <x:c r="I44" s="111" t="str">
        <x:v>Decision Locked</x:v>
      </x:c>
      <x:c r="J44" s="111" t="str">
        <x:v>Medium</x:v>
      </x:c>
      <x:c r="K44" s="111" t="str">
        <x:v>Engineering</x:v>
      </x:c>
      <x:c r="L44" s="111" t="str"/>
      <x:c r="M44" s="111" t="str">
        <x:v>Close the remaining gap: Local validated environments plus Docker PostgreSQL/Mailpit exist.</x:v>
      </x:c>
      <x:c r="N44" s="112"/>
      <x:c r="O44" s="111" t="str">
        <x:v>https://github.com/QK-Connoisseur/PDoki/pull/3</x:v>
      </x:c>
      <x:c r="P44" s="112" t="n">
        <x:v>46250.666666666664</x:v>
      </x:c>
      <x:c r="Q44" s="111" t="str">
        <x:v>Separate environments, secrets handling, .env management.</x:v>
      </x:c>
      <x:c r="R44" s="111" t="str">
        <x:v>Local validated environments plus Docker PostgreSQL/Mailpit exist. PR #3 adds non-secret staging/configuration/verification templates only; staging and production infrastructure, credentials, private origin, and live verification remain pending.</x:v>
      </x:c>
      <x:c r="S44" s="111" t="str">
        <x:v>Preserved Master Tracker row 48; legacy status: 🔄 In Progress</x:v>
      </x:c>
    </x:row>
    <x:row r="45" ht="46" customHeight="1">
      <x:c r="A45" s="111" t="str">
        <x:v>LEG-MT-049</x:v>
      </x:c>
      <x:c r="B45" s="111" t="str">
        <x:v>P02</x:v>
      </x:c>
      <x:c r="C45" s="111" t="str">
        <x:v>Backend and database foundation</x:v>
      </x:c>
      <x:c r="D45" s="111" t="str"/>
      <x:c r="E45" s="111" t="str">
        <x:v>Legacy-mapped task</x:v>
      </x:c>
      <x:c r="F45" s="111" t="str">
        <x:v>Backend and database foundation</x:v>
      </x:c>
      <x:c r="G45" s="111" t="str">
        <x:v>Define API structure</x:v>
      </x:c>
      <x:c r="H45" s="111" t="str">
        <x:v>In Progress</x:v>
      </x:c>
      <x:c r="I45" s="111" t="str">
        <x:v>Backend Implemented</x:v>
      </x:c>
      <x:c r="J45" s="111" t="str">
        <x:v>High</x:v>
      </x:c>
      <x:c r="K45" s="111" t="str">
        <x:v>Engineering</x:v>
      </x:c>
      <x:c r="L45" s="111" t="str"/>
      <x:c r="M45" s="111" t="str">
        <x:v>Close the remaining gap: Implemented /api/v1 health/readiness, auth/email, /me, protected Settings/session, and member creator-application flows.</x:v>
      </x:c>
      <x:c r="N45" s="112"/>
      <x:c r="O45" s="111" t="str"/>
      <x:c r="P45" s="112" t="n">
        <x:v>46250.666666666664</x:v>
      </x:c>
      <x:c r="Q45" s="111" t="str">
        <x:v>Map endpoints: auth, content, subscriptions, payments, moderation, admin, notifications.</x:v>
      </x:c>
      <x:c r="R45" s="111" t="str">
        <x:v>Implemented /api/v1 health/readiness, auth/email, /me, protected Settings/session, and member creator-application flows. The creator-review router remains deliberately unmounted and requires an operations verifier; later product domains remain pending.</x:v>
      </x:c>
      <x:c r="S45" s="111" t="str">
        <x:v>Preserved Master Tracker row 49; legacy status: 🔄 In Progress</x:v>
      </x:c>
    </x:row>
    <x:row r="46" ht="46" customHeight="1">
      <x:c r="A46" s="111" t="str">
        <x:v>LEG-MT-050</x:v>
      </x:c>
      <x:c r="B46" s="111" t="str">
        <x:v>P02</x:v>
      </x:c>
      <x:c r="C46" s="111" t="str">
        <x:v>Backend and database foundation</x:v>
      </x:c>
      <x:c r="D46" s="111" t="str"/>
      <x:c r="E46" s="111" t="str">
        <x:v>Legacy-mapped task</x:v>
      </x:c>
      <x:c r="F46" s="111" t="str">
        <x:v>Backend and database foundation</x:v>
      </x:c>
      <x:c r="G46" s="111" t="str">
        <x:v>Implement logging &amp; monitoring</x:v>
      </x:c>
      <x:c r="H46" s="111" t="str">
        <x:v>In Progress</x:v>
      </x:c>
      <x:c r="I46" s="111" t="str">
        <x:v>Backend Implemented</x:v>
      </x:c>
      <x:c r="J46" s="111" t="str">
        <x:v>Medium</x:v>
      </x:c>
      <x:c r="K46" s="111" t="str">
        <x:v>Engineering</x:v>
      </x:c>
      <x:c r="L46" s="111" t="str"/>
      <x:c r="M46" s="111" t="str">
        <x:v>Close the remaining gap: Structured Pino request logging, request IDs, and secret-header redaction are implemented.</x:v>
      </x:c>
      <x:c r="N46" s="112"/>
      <x:c r="O46" s="111" t="str">
        <x:v>https://github.com/QK-Connoisseur/PDoki/pull/3</x:v>
      </x:c>
      <x:c r="P46" s="112" t="n">
        <x:v>46250.666666666664</x:v>
      </x:c>
      <x:c r="Q46" s="111" t="str">
        <x:v>Error tracking, structured logs, operational visibility (CloudWatch, Sentry).</x:v>
      </x:c>
      <x:c r="R46" s="111" t="str">
        <x:v>Structured Pino request logging, request IDs, and secret-header redaction are implemented. PR #3 adds a provider scorecard/runbook only; monitoring integration, alerts, retention decisions, and live evidence remain pending.</x:v>
      </x:c>
      <x:c r="S46" s="111" t="str">
        <x:v>Preserved Master Tracker row 50; legacy status: 🔄 In Progress</x:v>
      </x:c>
    </x:row>
    <x:row r="47" ht="46" customHeight="1">
      <x:c r="A47" s="111" t="str">
        <x:v>LEG-MT-051</x:v>
      </x:c>
      <x:c r="B47" s="111" t="str">
        <x:v>P02</x:v>
      </x:c>
      <x:c r="C47" s="111" t="str">
        <x:v>Backend and database foundation</x:v>
      </x:c>
      <x:c r="D47" s="111" t="str"/>
      <x:c r="E47" s="111" t="str">
        <x:v>Legacy-mapped task</x:v>
      </x:c>
      <x:c r="F47" s="111" t="str">
        <x:v>Backend and database foundation</x:v>
      </x:c>
      <x:c r="G47" s="111" t="str">
        <x:v>Implement backups &amp; recovery plan</x:v>
      </x:c>
      <x:c r="H47" s="111" t="str">
        <x:v>Not Started</x:v>
      </x:c>
      <x:c r="I47" s="111" t="str">
        <x:v>N/A</x:v>
      </x:c>
      <x:c r="J47" s="111" t="str">
        <x:v>High</x:v>
      </x:c>
      <x:c r="K47" s="111" t="str">
        <x:v>Engineering</x:v>
      </x:c>
      <x:c r="L47" s="111" t="str"/>
      <x:c r="M47" s="111" t="str">
        <x:v>Confirm dependencies and owner, then define the first deliverable.</x:v>
      </x:c>
      <x:c r="N47" s="112"/>
      <x:c r="O47" s="111" t="str"/>
      <x:c r="P47" s="112" t="n">
        <x:v>46250.666666666664</x:v>
      </x:c>
      <x:c r="Q47" s="111" t="str">
        <x:v>Automated RDS snapshots, R2 versioning, disaster recovery.</x:v>
      </x:c>
      <x:c r="R47" s="111" t="str">
        <x:v>Required for production readiness.</x:v>
      </x:c>
      <x:c r="S47" s="111" t="str">
        <x:v>Preserved Master Tracker row 51; legacy status: 📋 Not Started</x:v>
      </x:c>
    </x:row>
    <x:row r="48" ht="46" customHeight="1">
      <x:c r="A48" s="111" t="str">
        <x:v>LEG-MT-052</x:v>
      </x:c>
      <x:c r="B48" s="111" t="str">
        <x:v>P02</x:v>
      </x:c>
      <x:c r="C48" s="111" t="str">
        <x:v>Backend and database foundation</x:v>
      </x:c>
      <x:c r="D48" s="111" t="str"/>
      <x:c r="E48" s="111" t="str">
        <x:v>Legacy-mapped task</x:v>
      </x:c>
      <x:c r="F48" s="111" t="str">
        <x:v>Backend and database foundation</x:v>
      </x:c>
      <x:c r="G48" s="111" t="str">
        <x:v>Add rate limiting &amp; abuse protection</x:v>
      </x:c>
      <x:c r="H48" s="111" t="str">
        <x:v>In Progress</x:v>
      </x:c>
      <x:c r="I48" s="111" t="str">
        <x:v>Backend Implemented</x:v>
      </x:c>
      <x:c r="J48" s="111" t="str">
        <x:v>Medium</x:v>
      </x:c>
      <x:c r="K48" s="111" t="str">
        <x:v>Engineering</x:v>
      </x:c>
      <x:c r="L48" s="111" t="str"/>
      <x:c r="M48" s="111" t="str">
        <x:v>Close the remaining gap: Global per-IP limits plus bounded in-memory login and email-request throttles are implemented.</x:v>
      </x:c>
      <x:c r="N48" s="112"/>
      <x:c r="O48" s="111" t="str"/>
      <x:c r="P48" s="112" t="n">
        <x:v>46250.666666666664</x:v>
      </x:c>
      <x:c r="Q48" s="111" t="str">
        <x:v>Anti-scraping, anti-spam, brute-force protection, credential abuse.</x:v>
      </x:c>
      <x:c r="R48" s="111" t="str">
        <x:v>Global per-IP limits plus bounded in-memory login and email-request throttles are implemented. Redis-backed multi-instance protection remains pending.</x:v>
      </x:c>
      <x:c r="S48" s="111" t="str">
        <x:v>Preserved Master Tracker row 52; legacy status: 🔄 In Progress</x:v>
      </x:c>
    </x:row>
    <x:row r="49" ht="46" customHeight="1">
      <x:c r="A49" s="111" t="str">
        <x:v>LEG-MT-053</x:v>
      </x:c>
      <x:c r="B49" s="111" t="str">
        <x:v>P02</x:v>
      </x:c>
      <x:c r="C49" s="111" t="str">
        <x:v>Backend and database foundation</x:v>
      </x:c>
      <x:c r="D49" s="111" t="str">
        <x:v>P01</x:v>
      </x:c>
      <x:c r="E49" s="111" t="str">
        <x:v>Legacy-mapped task</x:v>
      </x:c>
      <x:c r="F49" s="111" t="str">
        <x:v>Backend and database foundation</x:v>
      </x:c>
      <x:c r="G49" s="111" t="str">
        <x:v>Set up CI/CD pipeline</x:v>
      </x:c>
      <x:c r="H49" s="111" t="str">
        <x:v>In Progress</x:v>
      </x:c>
      <x:c r="I49" s="111" t="str">
        <x:v>Decision Locked</x:v>
      </x:c>
      <x:c r="J49" s="111" t="str">
        <x:v>Medium</x:v>
      </x:c>
      <x:c r="K49" s="111" t="str">
        <x:v>Engineering</x:v>
      </x:c>
      <x:c r="L49" s="111" t="str"/>
      <x:c r="M49" s="111" t="str">
        <x:v>Close the remaining gap: CI runs formatting, lint, web/API tests and builds, migrations/seed, private-admin build, and real-stack Playwright with read-only token permissions and bounded timeouts.</x:v>
      </x:c>
      <x:c r="N49" s="112"/>
      <x:c r="O49" s="111" t="str">
        <x:v>https://github.com/QK-Connoisseur/PDoki/pull/1</x:v>
      </x:c>
      <x:c r="P49" s="112" t="n">
        <x:v>46250.666666666664</x:v>
      </x:c>
      <x:c r="Q49" s="111" t="str">
        <x:v>Automate testing and deployment from Git branches to staging/production.</x:v>
      </x:c>
      <x:c r="R49" s="111" t="str">
        <x:v>CI runs formatting, lint, web/API tests and builds, migrations/seed, private-admin build, and real-stack Playwright with read-only token permissions and bounded timeouts. PR #1–#3 passed reviewed-head CI; deployment automation remains pending.</x:v>
      </x:c>
      <x:c r="S49" s="111" t="str">
        <x:v>Preserved Master Tracker row 53; legacy status: 🔄 In Progress</x:v>
      </x:c>
    </x:row>
    <x:row r="50" ht="46" customHeight="1">
      <x:c r="A50" s="111" t="str">
        <x:v>LEG-MT-054</x:v>
      </x:c>
      <x:c r="B50" s="111" t="str">
        <x:v>P02</x:v>
      </x:c>
      <x:c r="C50" s="111" t="str">
        <x:v>Backend and database foundation</x:v>
      </x:c>
      <x:c r="D50" s="111" t="str"/>
      <x:c r="E50" s="111" t="str">
        <x:v>Legacy-mapped task</x:v>
      </x:c>
      <x:c r="F50" s="111" t="str">
        <x:v>Backend and database foundation</x:v>
      </x:c>
      <x:c r="G50" s="111" t="str">
        <x:v>Configure SSL/TLS &amp; domain DNS</x:v>
      </x:c>
      <x:c r="H50" s="111" t="str">
        <x:v>Not Started</x:v>
      </x:c>
      <x:c r="I50" s="111" t="str">
        <x:v>N/A</x:v>
      </x:c>
      <x:c r="J50" s="111" t="str">
        <x:v>High</x:v>
      </x:c>
      <x:c r="K50" s="111" t="str">
        <x:v>Engineering</x:v>
      </x:c>
      <x:c r="L50" s="111" t="str"/>
      <x:c r="M50" s="111" t="str">
        <x:v>Confirm dependencies and owner, then define the first deliverable.</x:v>
      </x:c>
      <x:c r="N50" s="112"/>
      <x:c r="O50" s="111" t="str"/>
      <x:c r="P50" s="112" t="n">
        <x:v>46250.666666666664</x:v>
      </x:c>
      <x:c r="Q50" s="111" t="str">
        <x:v>HTTPS everywhere, DNS records, certificate management.</x:v>
      </x:c>
      <x:c r="R50" s="111" t="str">
        <x:v>Required for production.</x:v>
      </x:c>
      <x:c r="S50" s="111" t="str">
        <x:v>Preserved Master Tracker row 54; legacy status: 📋 Not Started</x:v>
      </x:c>
    </x:row>
    <x:row r="51" ht="46" customHeight="1">
      <x:c r="A51" s="111" t="str">
        <x:v>LEG-MT-056</x:v>
      </x:c>
      <x:c r="B51" s="111" t="str">
        <x:v>P03</x:v>
      </x:c>
      <x:c r="C51" s="111" t="str">
        <x:v>Authentication, roles, and settings</x:v>
      </x:c>
      <x:c r="D51" s="111" t="str"/>
      <x:c r="E51" s="111" t="str">
        <x:v>Legacy-mapped task</x:v>
      </x:c>
      <x:c r="F51" s="111" t="str">
        <x:v>Authentication, roles, and settings</x:v>
      </x:c>
      <x:c r="G51" s="111" t="str">
        <x:v>Implement account creation &amp; login/logout</x:v>
      </x:c>
      <x:c r="H51" s="111" t="str">
        <x:v>Done</x:v>
      </x:c>
      <x:c r="I51" s="111" t="str">
        <x:v>Integrated</x:v>
      </x:c>
      <x:c r="J51" s="111" t="str">
        <x:v>Low</x:v>
      </x:c>
      <x:c r="K51" s="111" t="str">
        <x:v>Engineering</x:v>
      </x:c>
      <x:c r="L51" s="111" t="str"/>
      <x:c r="M51" s="111" t="str">
        <x:v>No action; reopen only if the approved scope changes.</x:v>
      </x:c>
      <x:c r="N51" s="112"/>
      <x:c r="O51" s="111" t="str"/>
      <x:c r="P51" s="112" t="n">
        <x:v>46250.666666666664</x:v>
      </x:c>
      <x:c r="Q51" s="111" t="str">
        <x:v>Create working auth flows, not just screens.</x:v>
      </x:c>
      <x:c r="R51" s="111" t="str">
        <x:v>Slice 3 connects registration, login, logout, and authenticated route restoration to the live API.</x:v>
      </x:c>
      <x:c r="S51" s="111" t="str">
        <x:v>Preserved Master Tracker row 56; legacy status: ✅ Done</x:v>
      </x:c>
    </x:row>
    <x:row r="52" ht="46" customHeight="1">
      <x:c r="A52" s="111" t="str">
        <x:v>LEG-MT-057</x:v>
      </x:c>
      <x:c r="B52" s="111" t="str">
        <x:v>P03</x:v>
      </x:c>
      <x:c r="C52" s="111" t="str">
        <x:v>Authentication, roles, and settings</x:v>
      </x:c>
      <x:c r="D52" s="111" t="str"/>
      <x:c r="E52" s="111" t="str">
        <x:v>Legacy-mapped task</x:v>
      </x:c>
      <x:c r="F52" s="111" t="str">
        <x:v>Authentication, roles, and settings</x:v>
      </x:c>
      <x:c r="G52" s="111" t="str">
        <x:v>Implement creator/member/admin roles</x:v>
      </x:c>
      <x:c r="H52" s="111" t="str">
        <x:v>Done</x:v>
      </x:c>
      <x:c r="I52" s="111" t="str">
        <x:v>Integrated</x:v>
      </x:c>
      <x:c r="J52" s="111" t="str">
        <x:v>Low</x:v>
      </x:c>
      <x:c r="K52" s="111" t="str">
        <x:v>Engineering</x:v>
      </x:c>
      <x:c r="L52" s="111" t="str"/>
      <x:c r="M52" s="111" t="str">
        <x:v>No action; reopen only if the approved scope changes.</x:v>
      </x:c>
      <x:c r="N52" s="112"/>
      <x:c r="O52" s="111" t="str"/>
      <x:c r="P52" s="112" t="n">
        <x:v>46250.666666666664</x:v>
      </x:c>
      <x:c r="Q52" s="111" t="str">
        <x:v>Role-based permissions and access boundaries.</x:v>
      </x:c>
      <x:c r="R52" s="111" t="str">
        <x:v>MEMBER/CREATOR route gates and backend role checks are implemented. The public web app has no /admin route; an ADMIN public session is not operational authentication and cannot activate the dormant review router.</x:v>
      </x:c>
      <x:c r="S52" s="111" t="str">
        <x:v>Preserved Master Tracker row 57; legacy status: ✅ Done</x:v>
      </x:c>
    </x:row>
    <x:row r="53" ht="46" customHeight="1">
      <x:c r="A53" s="111" t="str">
        <x:v>LEG-MT-058</x:v>
      </x:c>
      <x:c r="B53" s="111" t="str">
        <x:v>P03</x:v>
      </x:c>
      <x:c r="C53" s="111" t="str">
        <x:v>Authentication, roles, and settings</x:v>
      </x:c>
      <x:c r="D53" s="111" t="str"/>
      <x:c r="E53" s="111" t="str">
        <x:v>Legacy-mapped task</x:v>
      </x:c>
      <x:c r="F53" s="111" t="str">
        <x:v>Authentication, roles, and settings</x:v>
      </x:c>
      <x:c r="G53" s="111" t="str">
        <x:v>Implement session management</x:v>
      </x:c>
      <x:c r="H53" s="111" t="str">
        <x:v>Done</x:v>
      </x:c>
      <x:c r="I53" s="111" t="str">
        <x:v>Integrated</x:v>
      </x:c>
      <x:c r="J53" s="111" t="str">
        <x:v>Low</x:v>
      </x:c>
      <x:c r="K53" s="111" t="str">
        <x:v>Engineering</x:v>
      </x:c>
      <x:c r="L53" s="111" t="str"/>
      <x:c r="M53" s="111" t="str">
        <x:v>No action; reopen only if the approved scope changes.</x:v>
      </x:c>
      <x:c r="N53" s="112"/>
      <x:c r="O53" s="111" t="str"/>
      <x:c r="P53" s="112" t="n">
        <x:v>46250.666666666664</x:v>
      </x:c>
      <x:c r="Q53" s="111" t="str">
        <x:v>Signed-in state, token/session renewal, logout behavior.</x:v>
      </x:c>
      <x:c r="R53" s="111" t="str">
        <x:v>HttpOnly-cookie sessions restore through /me, renew on a bounded sliding window, support logout/logout-all, and can now be listed and individually revoked from protected Settings. Sensitive account changes revoke other sessions.</x:v>
      </x:c>
      <x:c r="S53" s="111" t="str">
        <x:v>Preserved Master Tracker row 58; legacy status: ✅ Done</x:v>
      </x:c>
    </x:row>
    <x:row r="54" ht="46" customHeight="1">
      <x:c r="A54" s="111" t="str">
        <x:v>LEG-MT-059</x:v>
      </x:c>
      <x:c r="B54" s="111" t="str">
        <x:v>P04</x:v>
      </x:c>
      <x:c r="C54" s="111" t="str">
        <x:v>Legal, trust, and creator onboarding</x:v>
      </x:c>
      <x:c r="D54" s="111" t="str"/>
      <x:c r="E54" s="111" t="str">
        <x:v>Legacy-mapped task</x:v>
      </x:c>
      <x:c r="F54" s="111" t="str">
        <x:v>Creator onboarding &amp; trust</x:v>
      </x:c>
      <x:c r="G54" s="111" t="str">
        <x:v>Build onboarding flows</x:v>
      </x:c>
      <x:c r="H54" s="111" t="str">
        <x:v>In Progress</x:v>
      </x:c>
      <x:c r="I54" s="111" t="str">
        <x:v>Decision Locked</x:v>
      </x:c>
      <x:c r="J54" s="111" t="str">
        <x:v>High</x:v>
      </x:c>
      <x:c r="K54" s="111" t="str">
        <x:v>Engineering</x:v>
      </x:c>
      <x:c r="L54" s="111" t="str">
        <x:v>Founder + counsel/provider</x:v>
      </x:c>
      <x:c r="M54" s="111" t="str">
        <x:v>Close the remaining gap: A verified MEMBER can submit one persisted creator application; it remains PENDING with identity NOT_STARTED and no role promotion or Dashboard access.</x:v>
      </x:c>
      <x:c r="N54" s="112"/>
      <x:c r="O54" s="111" t="str"/>
      <x:c r="P54" s="112" t="n">
        <x:v>46250.666666666664</x:v>
      </x:c>
      <x:c r="Q54" s="111" t="str">
        <x:v>First-run setup for creators (incl. theme selection: Floral/Ember) and members.</x:v>
      </x:c>
      <x:c r="R54" s="111" t="str">
        <x:v>A verified MEMBER can submit one persisted creator application; it remains PENDING with identity NOT_STARTED and no role promotion or Dashboard access. Member first-run setup, theme choice, identity/tax/banking intake, and operational approval remain pending.</x:v>
      </x:c>
      <x:c r="S54" s="111" t="str">
        <x:v>Preserved Master Tracker row 59; legacy status: 🔄 In Progress</x:v>
      </x:c>
    </x:row>
    <x:row r="55" ht="46" customHeight="1">
      <x:c r="A55" s="111" t="str">
        <x:v>LEG-MT-060</x:v>
      </x:c>
      <x:c r="B55" s="111" t="str">
        <x:v>P04</x:v>
      </x:c>
      <x:c r="C55" s="111" t="str">
        <x:v>Legal, trust, and creator onboarding</x:v>
      </x:c>
      <x:c r="D55" s="111" t="str">
        <x:v>P03</x:v>
      </x:c>
      <x:c r="E55" s="111" t="str">
        <x:v>Legacy-mapped task</x:v>
      </x:c>
      <x:c r="F55" s="111" t="str">
        <x:v>Creator onboarding &amp; trust</x:v>
      </x:c>
      <x:c r="G55" s="111" t="str">
        <x:v>Add 18+ entry gate &amp; age verification</x:v>
      </x:c>
      <x:c r="H55" s="111" t="str">
        <x:v>In Progress</x:v>
      </x:c>
      <x:c r="I55" s="111" t="str">
        <x:v>N/A</x:v>
      </x:c>
      <x:c r="J55" s="111" t="str">
        <x:v>High</x:v>
      </x:c>
      <x:c r="K55" s="111" t="str">
        <x:v>Engineering</x:v>
      </x:c>
      <x:c r="L55" s="111" t="str"/>
      <x:c r="M55" s="111" t="str">
        <x:v>Close the remaining gap: Registration records append-only age attestation and versioned Terms/Privacy acceptance; verified email gates creator-application submission.</x:v>
      </x:c>
      <x:c r="N55" s="112"/>
      <x:c r="O55" s="111" t="str"/>
      <x:c r="P55" s="112" t="n">
        <x:v>46250.666666666664</x:v>
      </x:c>
      <x:c r="Q55" s="111" t="str">
        <x:v>Consent gating and age/compliance checks at platform entry.</x:v>
      </x:c>
      <x:c r="R55" s="111" t="str">
        <x:v>Registration records append-only age attestation and versioned Terms/Privacy acceptance; verified email gates creator-application submission. Entry-gate UI and actual identity/age verification remain pending.</x:v>
      </x:c>
      <x:c r="S55" s="111" t="str">
        <x:v>Preserved Master Tracker row 60; legacy status: 🔄 In Progress</x:v>
      </x:c>
    </x:row>
    <x:row r="56" ht="46" customHeight="1">
      <x:c r="A56" s="111" t="str">
        <x:v>LEG-MT-061</x:v>
      </x:c>
      <x:c r="B56" s="111" t="str">
        <x:v>P03</x:v>
      </x:c>
      <x:c r="C56" s="111" t="str">
        <x:v>Authentication, roles, and settings</x:v>
      </x:c>
      <x:c r="D56" s="111" t="str"/>
      <x:c r="E56" s="111" t="str">
        <x:v>Legacy-mapped task</x:v>
      </x:c>
      <x:c r="F56" s="111" t="str">
        <x:v>Authentication, roles, and settings</x:v>
      </x:c>
      <x:c r="G56" s="111" t="str">
        <x:v>Implement email verification</x:v>
      </x:c>
      <x:c r="H56" s="111" t="str">
        <x:v>Done</x:v>
      </x:c>
      <x:c r="I56" s="111" t="str">
        <x:v>Integrated</x:v>
      </x:c>
      <x:c r="J56" s="111" t="str">
        <x:v>Low</x:v>
      </x:c>
      <x:c r="K56" s="111" t="str">
        <x:v>Engineering</x:v>
      </x:c>
      <x:c r="L56" s="111" t="str"/>
      <x:c r="M56" s="111" t="str">
        <x:v>No action; reopen only if the approved scope changes.</x:v>
      </x:c>
      <x:c r="N56" s="112"/>
      <x:c r="O56" s="111" t="str"/>
      <x:c r="P56" s="112" t="n">
        <x:v>46250.666666666664</x:v>
      </x:c>
      <x:c r="Q56" s="111" t="str">
        <x:v>Require email confirmation for new accounts.</x:v>
      </x:c>
      <x:c r="R56" s="111" t="str">
        <x:v>Slice 3 provides verification screens and Mailpit-backed confirmation. Slice 4B adds authenticated email change, invalidates stale links, requires reverification, and preserves only the current session.</x:v>
      </x:c>
      <x:c r="S56" s="111" t="str">
        <x:v>Preserved Master Tracker row 61; legacy status: ✅ Done</x:v>
      </x:c>
    </x:row>
    <x:row r="57" ht="46" customHeight="1">
      <x:c r="A57" s="111" t="str">
        <x:v>LEG-MT-062</x:v>
      </x:c>
      <x:c r="B57" s="111" t="str">
        <x:v>P03</x:v>
      </x:c>
      <x:c r="C57" s="111" t="str">
        <x:v>Authentication, roles, and settings</x:v>
      </x:c>
      <x:c r="D57" s="111" t="str"/>
      <x:c r="E57" s="111" t="str">
        <x:v>Legacy-mapped task</x:v>
      </x:c>
      <x:c r="F57" s="111" t="str">
        <x:v>Authentication, roles, and settings</x:v>
      </x:c>
      <x:c r="G57" s="111" t="str">
        <x:v>Implement password reset flow</x:v>
      </x:c>
      <x:c r="H57" s="111" t="str">
        <x:v>Done</x:v>
      </x:c>
      <x:c r="I57" s="111" t="str">
        <x:v>Decision Locked</x:v>
      </x:c>
      <x:c r="J57" s="111" t="str">
        <x:v>Low</x:v>
      </x:c>
      <x:c r="K57" s="111" t="str">
        <x:v>Engineering</x:v>
      </x:c>
      <x:c r="L57" s="111" t="str"/>
      <x:c r="M57" s="111" t="str">
        <x:v>No action; reopen only if the approved scope changes.</x:v>
      </x:c>
      <x:c r="N57" s="112"/>
      <x:c r="O57" s="111" t="str"/>
      <x:c r="P57" s="112" t="n">
        <x:v>46250.666666666664</x:v>
      </x:c>
      <x:c r="Q57" s="111" t="str">
        <x:v>Secure forgot-password and recovery process.</x:v>
      </x:c>
      <x:c r="R57" s="111" t="str">
        <x:v>Slice 3 provides reset request/confirmation and global revocation. Slice 4B adds current-password-confirmed password change, reset-token invalidation, and other-session revocation.</x:v>
      </x:c>
      <x:c r="S57" s="111" t="str">
        <x:v>Preserved Master Tracker row 62; legacy status: ✅ Done</x:v>
      </x:c>
    </x:row>
    <x:row r="58" ht="46" customHeight="1">
      <x:c r="A58" s="111" t="str">
        <x:v>LEG-MT-064</x:v>
      </x:c>
      <x:c r="B58" s="111" t="str">
        <x:v>P08</x:v>
      </x:c>
      <x:c r="C58" s="111" t="str">
        <x:v>Feed, social actions, Store, and Connect</x:v>
      </x:c>
      <x:c r="D58" s="111" t="str"/>
      <x:c r="E58" s="111" t="str">
        <x:v>Legacy-mapped task</x:v>
      </x:c>
      <x:c r="F58" s="111" t="str">
        <x:v>Feed, social actions, Store, and Connect</x:v>
      </x:c>
      <x:c r="G58" s="111" t="str">
        <x:v>Build homepage (logged-in feed)</x:v>
      </x:c>
      <x:c r="H58" s="111" t="str">
        <x:v>Done</x:v>
      </x:c>
      <x:c r="I58" s="111" t="str">
        <x:v>UI Prototype</x:v>
      </x:c>
      <x:c r="J58" s="111" t="str">
        <x:v>Low</x:v>
      </x:c>
      <x:c r="K58" s="111" t="str">
        <x:v>Engineering</x:v>
      </x:c>
      <x:c r="L58" s="111" t="str"/>
      <x:c r="M58" s="111" t="str">
        <x:v>No action; reopen only if the approved scope changes.</x:v>
      </x:c>
      <x:c r="N58" s="112"/>
      <x:c r="O58" s="111" t="str"/>
      <x:c r="P58" s="112" t="n">
        <x:v>46250.666666666664</x:v>
      </x:c>
      <x:c r="Q58" s="111" t="str">
        <x:v>Implement the main logged-in home experience with heart story rail and Following/For You tabs.</x:v>
      </x:c>
      <x:c r="R58" s="111" t="str">
        <x:v>Feed page designed with heart rail and tab system. Functional layout confirmed.</x:v>
      </x:c>
      <x:c r="S58" s="111" t="str">
        <x:v>Preserved Master Tracker row 64; legacy status: ✅ Done</x:v>
      </x:c>
    </x:row>
    <x:row r="59" ht="46" customHeight="1">
      <x:c r="A59" s="111" t="str">
        <x:v>LEG-MT-065</x:v>
      </x:c>
      <x:c r="B59" s="111" t="str">
        <x:v>P01</x:v>
      </x:c>
      <x:c r="C59" s="111" t="str">
        <x:v>Repository and frontend foundation</x:v>
      </x:c>
      <x:c r="D59" s="111" t="str"/>
      <x:c r="E59" s="111" t="str">
        <x:v>Legacy-mapped task</x:v>
      </x:c>
      <x:c r="F59" s="111" t="str">
        <x:v>Repository and frontend foundation</x:v>
      </x:c>
      <x:c r="G59" s="111" t="str">
        <x:v>Build landing page</x:v>
      </x:c>
      <x:c r="H59" s="111" t="str">
        <x:v>In Progress</x:v>
      </x:c>
      <x:c r="I59" s="111" t="str">
        <x:v>Decision Locked</x:v>
      </x:c>
      <x:c r="J59" s="111" t="str">
        <x:v>Medium</x:v>
      </x:c>
      <x:c r="K59" s="111" t="str">
        <x:v>Engineering</x:v>
      </x:c>
      <x:c r="L59" s="111" t="str"/>
      <x:c r="M59" s="111" t="str">
        <x:v>Close the remaining gap: Auth/landing split screen complete.</x:v>
      </x:c>
      <x:c r="N59" s="112"/>
      <x:c r="O59" s="111" t="str"/>
      <x:c r="P59" s="112" t="n">
        <x:v>46250.666666666664</x:v>
      </x:c>
      <x:c r="Q59" s="111" t="str">
        <x:v>Public-facing marketing/conversion page for new visitors.</x:v>
      </x:c>
      <x:c r="R59" s="111" t="str">
        <x:v>Auth/landing split screen complete. Raining hearts animation working. +18 checkbox present.</x:v>
      </x:c>
      <x:c r="S59" s="111" t="str">
        <x:v>Preserved Master Tracker row 65; legacy status: 🔄 In Progress</x:v>
      </x:c>
    </x:row>
    <x:row r="60" ht="46" customHeight="1">
      <x:c r="A60" s="111" t="str">
        <x:v>LEG-MT-066</x:v>
      </x:c>
      <x:c r="B60" s="111" t="str">
        <x:v>P08</x:v>
      </x:c>
      <x:c r="C60" s="111" t="str">
        <x:v>Feed, social actions, Store, and Connect</x:v>
      </x:c>
      <x:c r="D60" s="111" t="str"/>
      <x:c r="E60" s="111" t="str">
        <x:v>Legacy-mapped task</x:v>
      </x:c>
      <x:c r="F60" s="111" t="str">
        <x:v>Feed, social actions, Store, and Connect</x:v>
      </x:c>
      <x:c r="G60" s="111" t="str">
        <x:v>Build creator profile pages</x:v>
      </x:c>
      <x:c r="H60" s="111" t="str">
        <x:v>In Progress</x:v>
      </x:c>
      <x:c r="I60" s="111" t="str">
        <x:v>UI Prototype</x:v>
      </x:c>
      <x:c r="J60" s="111" t="str">
        <x:v>Medium</x:v>
      </x:c>
      <x:c r="K60" s="111" t="str">
        <x:v>Engineering</x:v>
      </x:c>
      <x:c r="L60" s="111" t="str"/>
      <x:c r="M60" s="111" t="str">
        <x:v>Close the remaining gap: Profile page designed.</x:v>
      </x:c>
      <x:c r="N60" s="112"/>
      <x:c r="O60" s="111" t="str"/>
      <x:c r="P60" s="112" t="n">
        <x:v>46250.666666666664</x:v>
      </x:c>
      <x:c r="Q60" s="111" t="str">
        <x:v>Public creator profiles with plans, content previews, tier display, services tab, highlights.</x:v>
      </x:c>
      <x:c r="R60" s="111" t="str">
        <x:v>Profile page designed. Services tab, heart highlights, subscribe button visible.</x:v>
      </x:c>
      <x:c r="S60" s="111" t="str">
        <x:v>Preserved Master Tracker row 66; legacy status: 🔄 In Progress</x:v>
      </x:c>
    </x:row>
    <x:row r="61" ht="46" customHeight="1">
      <x:c r="A61" s="111" t="str">
        <x:v>LEG-MT-067</x:v>
      </x:c>
      <x:c r="B61" s="111" t="str">
        <x:v>P08</x:v>
      </x:c>
      <x:c r="C61" s="111" t="str">
        <x:v>Feed, social actions, Store, and Connect</x:v>
      </x:c>
      <x:c r="D61" s="111" t="str"/>
      <x:c r="E61" s="111" t="str">
        <x:v>Legacy-mapped task</x:v>
      </x:c>
      <x:c r="F61" s="111" t="str">
        <x:v>Feed, social actions, Store, and Connect</x:v>
      </x:c>
      <x:c r="G61" s="111" t="str">
        <x:v>Build feed / discovery page</x:v>
      </x:c>
      <x:c r="H61" s="111" t="str">
        <x:v>Done</x:v>
      </x:c>
      <x:c r="I61" s="111" t="str">
        <x:v>Integrated</x:v>
      </x:c>
      <x:c r="J61" s="111" t="str">
        <x:v>Low</x:v>
      </x:c>
      <x:c r="K61" s="111" t="str">
        <x:v>Engineering</x:v>
      </x:c>
      <x:c r="L61" s="111" t="str"/>
      <x:c r="M61" s="111" t="str">
        <x:v>No action; reopen only if the approved scope changes.</x:v>
      </x:c>
      <x:c r="N61" s="112"/>
      <x:c r="O61" s="111" t="str"/>
      <x:c r="P61" s="112" t="n">
        <x:v>46250.666666666664</x:v>
      </x:c>
      <x:c r="Q61" s="111" t="str">
        <x:v>Hybrid discovery feed: For You + Following tabs, heart story rail.</x:v>
      </x:c>
      <x:c r="R61" s="111" t="str">
        <x:v>Heart rail + Following/For You hybrid implemented in design.</x:v>
      </x:c>
      <x:c r="S61" s="111" t="str">
        <x:v>Preserved Master Tracker row 67; legacy status: ✅ Done</x:v>
      </x:c>
    </x:row>
    <x:row r="62" ht="46" customHeight="1">
      <x:c r="A62" s="111" t="str">
        <x:v>LEG-MT-068</x:v>
      </x:c>
      <x:c r="B62" s="111" t="str">
        <x:v>P06</x:v>
      </x:c>
      <x:c r="C62" s="111" t="str">
        <x:v>Payments, subscriptions, tipping, and PPV</x:v>
      </x:c>
      <x:c r="D62" s="111" t="str"/>
      <x:c r="E62" s="111" t="str">
        <x:v>Legacy-mapped task</x:v>
      </x:c>
      <x:c r="F62" s="111" t="str">
        <x:v>Payments &amp; entitlements</x:v>
      </x:c>
      <x:c r="G62" s="111" t="str">
        <x:v>Build subscription / pricing page</x:v>
      </x:c>
      <x:c r="H62" s="111" t="str">
        <x:v>In Progress</x:v>
      </x:c>
      <x:c r="I62" s="111" t="str">
        <x:v>Decision Locked</x:v>
      </x:c>
      <x:c r="J62" s="111" t="str">
        <x:v>Medium</x:v>
      </x:c>
      <x:c r="K62" s="111" t="str">
        <x:v>Engineering</x:v>
      </x:c>
      <x:c r="L62" s="111" t="str"/>
      <x:c r="M62" s="111" t="str">
        <x:v>Close the remaining gap: Part of the active front-end build.</x:v>
      </x:c>
      <x:c r="N62" s="112"/>
      <x:c r="O62" s="111" t="str"/>
      <x:c r="P62" s="112" t="n">
        <x:v>46250.666666666664</x:v>
      </x:c>
      <x:c r="Q62" s="111" t="str">
        <x:v>Tier display: Standard (Doki 1–3), Premium (Super Doki 1–2), Ultimate (Doki Legend).</x:v>
      </x:c>
      <x:c r="R62" s="111" t="str">
        <x:v>Part of the active front-end build.</x:v>
      </x:c>
      <x:c r="S62" s="111" t="str">
        <x:v>Preserved Master Tracker row 68; legacy status: 🔄 In Progress</x:v>
      </x:c>
    </x:row>
    <x:row r="63" ht="46" customHeight="1">
      <x:c r="A63" s="111" t="str">
        <x:v>LEG-MT-069</x:v>
      </x:c>
      <x:c r="B63" s="111" t="str">
        <x:v>P03</x:v>
      </x:c>
      <x:c r="C63" s="111" t="str">
        <x:v>Authentication, roles, and settings</x:v>
      </x:c>
      <x:c r="D63" s="111" t="str"/>
      <x:c r="E63" s="111" t="str">
        <x:v>Legacy-mapped task</x:v>
      </x:c>
      <x:c r="F63" s="111" t="str">
        <x:v>Authentication, roles, and settings</x:v>
      </x:c>
      <x:c r="G63" s="111" t="str">
        <x:v>Build login / signup screens</x:v>
      </x:c>
      <x:c r="H63" s="111" t="str">
        <x:v>Done</x:v>
      </x:c>
      <x:c r="I63" s="111" t="str">
        <x:v>Integrated</x:v>
      </x:c>
      <x:c r="J63" s="111" t="str">
        <x:v>Low</x:v>
      </x:c>
      <x:c r="K63" s="111" t="str">
        <x:v>Engineering</x:v>
      </x:c>
      <x:c r="L63" s="111" t="str"/>
      <x:c r="M63" s="111" t="str">
        <x:v>No action; reopen only if the approved scope changes.</x:v>
      </x:c>
      <x:c r="N63" s="112"/>
      <x:c r="O63" s="111" t="str"/>
      <x:c r="P63" s="112" t="n">
        <x:v>46250.666666666664</x:v>
      </x:c>
      <x:c r="Q63" s="111" t="str">
        <x:v>Account entry screens for creators and members.</x:v>
      </x:c>
      <x:c r="R63" s="111" t="str">
        <x:v>Live validated API login/signup/logout plus forgot/reset/verify flows are published. Registration was redesigned, verification reminders no longer overlay protected content, and deep-link restoration/session-aware recovery are CI-covered.</x:v>
      </x:c>
      <x:c r="S63" s="111" t="str">
        <x:v>Preserved Master Tracker row 69; legacy status: ✅ Done</x:v>
      </x:c>
    </x:row>
    <x:row r="64" ht="46" customHeight="1">
      <x:c r="A64" s="111" t="str">
        <x:v>LEG-MT-070</x:v>
      </x:c>
      <x:c r="B64" s="111" t="str">
        <x:v>P08</x:v>
      </x:c>
      <x:c r="C64" s="111" t="str">
        <x:v>Feed, social actions, Store, and Connect</x:v>
      </x:c>
      <x:c r="D64" s="111" t="str"/>
      <x:c r="E64" s="111" t="str">
        <x:v>Legacy-mapped task</x:v>
      </x:c>
      <x:c r="F64" s="111" t="str">
        <x:v>Feed, social actions, Store, and Connect</x:v>
      </x:c>
      <x:c r="G64" s="111" t="str">
        <x:v>Implement story rail / For You model</x:v>
      </x:c>
      <x:c r="H64" s="111" t="str">
        <x:v>Done</x:v>
      </x:c>
      <x:c r="I64" s="111" t="str">
        <x:v>Integrated</x:v>
      </x:c>
      <x:c r="J64" s="111" t="str">
        <x:v>Low</x:v>
      </x:c>
      <x:c r="K64" s="111" t="str">
        <x:v>Engineering</x:v>
      </x:c>
      <x:c r="L64" s="111" t="str"/>
      <x:c r="M64" s="111" t="str">
        <x:v>No action; reopen only if the approved scope changes.</x:v>
      </x:c>
      <x:c r="N64" s="112"/>
      <x:c r="O64" s="111" t="str"/>
      <x:c r="P64" s="112" t="n">
        <x:v>46250.666666666664</x:v>
      </x:c>
      <x:c r="Q64" s="111" t="str">
        <x:v>Translate the interaction/feed architecture into actual UI behavior.</x:v>
      </x:c>
      <x:c r="R64" s="111" t="str">
        <x:v>Heart rail + Following/For You hybrid implemented in design.</x:v>
      </x:c>
      <x:c r="S64" s="111" t="str">
        <x:v>Preserved Master Tracker row 70; legacy status: ✅ Done</x:v>
      </x:c>
    </x:row>
    <x:row r="65" ht="46" customHeight="1">
      <x:c r="A65" s="111" t="str">
        <x:v>LEG-MT-071</x:v>
      </x:c>
      <x:c r="B65" s="111" t="str">
        <x:v>P05</x:v>
      </x:c>
      <x:c r="C65" s="111" t="str">
        <x:v>Media pipeline and content model</x:v>
      </x:c>
      <x:c r="D65" s="111" t="str"/>
      <x:c r="E65" s="111" t="str">
        <x:v>Legacy-mapped task</x:v>
      </x:c>
      <x:c r="F65" s="111" t="str">
        <x:v>Media pipeline and content model</x:v>
      </x:c>
      <x:c r="G65" s="111" t="str">
        <x:v>Implement locked-content previews</x:v>
      </x:c>
      <x:c r="H65" s="111" t="str">
        <x:v>In Progress</x:v>
      </x:c>
      <x:c r="I65" s="111" t="str">
        <x:v>UI Prototype</x:v>
      </x:c>
      <x:c r="J65" s="111" t="str">
        <x:v>Medium</x:v>
      </x:c>
      <x:c r="K65" s="111" t="str">
        <x:v>Engineering</x:v>
      </x:c>
      <x:c r="L65" s="111" t="str"/>
      <x:c r="M65" s="111" t="str">
        <x:v>Close the remaining gap: Locked preview UI exists; backend entitlement and protected media delivery remain.</x:v>
      </x:c>
      <x:c r="N65" s="112"/>
      <x:c r="O65" s="111" t="str"/>
      <x:c r="P65" s="112" t="n">
        <x:v>46250.666666666664</x:v>
      </x:c>
      <x:c r="Q65" s="111" t="str">
        <x:v>Teasers and premium access states in cards and posts.</x:v>
      </x:c>
      <x:c r="R65" s="111" t="str">
        <x:v>Locked preview UI exists; backend entitlement and protected media delivery remain.</x:v>
      </x:c>
      <x:c r="S65" s="111" t="str">
        <x:v>Preserved Master Tracker row 71; legacy status: 🔄 In Progress</x:v>
      </x:c>
    </x:row>
    <x:row r="66" ht="46" customHeight="1">
      <x:c r="A66" s="111" t="str">
        <x:v>LEG-MT-072</x:v>
      </x:c>
      <x:c r="B66" s="111" t="str">
        <x:v>P06</x:v>
      </x:c>
      <x:c r="C66" s="111" t="str">
        <x:v>Payments, subscriptions, tipping, and PPV</x:v>
      </x:c>
      <x:c r="D66" s="111" t="str"/>
      <x:c r="E66" s="111" t="str">
        <x:v>Legacy-mapped task</x:v>
      </x:c>
      <x:c r="F66" s="111" t="str">
        <x:v>Payments &amp; entitlements</x:v>
      </x:c>
      <x:c r="G66" s="111" t="str">
        <x:v>Implement membership tier modules</x:v>
      </x:c>
      <x:c r="H66" s="111" t="str">
        <x:v>In Progress</x:v>
      </x:c>
      <x:c r="I66" s="111" t="str">
        <x:v>UI Prototype</x:v>
      </x:c>
      <x:c r="J66" s="111" t="str">
        <x:v>Medium</x:v>
      </x:c>
      <x:c r="K66" s="111" t="str">
        <x:v>Engineering</x:v>
      </x:c>
      <x:c r="L66" s="111" t="str"/>
      <x:c r="M66" s="111" t="str">
        <x:v>Close the remaining gap: Tier visuals exist.</x:v>
      </x:c>
      <x:c r="N66" s="112"/>
      <x:c r="O66" s="111" t="str"/>
      <x:c r="P66" s="112" t="n">
        <x:v>46250.666666666664</x:v>
      </x:c>
      <x:c r="Q66" s="111" t="str">
        <x:v>Doki / SuperDoki / Doki Legend plan modules on creator pages.</x:v>
      </x:c>
      <x:c r="R66" s="111" t="str">
        <x:v>Tier visuals exist. Launch tiers will be standardized; exact rules and backend enforcement remain.</x:v>
      </x:c>
      <x:c r="S66" s="111" t="str">
        <x:v>Preserved Master Tracker row 72; legacy status: 🔄 In Progress</x:v>
      </x:c>
    </x:row>
    <x:row r="67" ht="46" customHeight="1">
      <x:c r="A67" s="111" t="str">
        <x:v>LEG-MT-073</x:v>
      </x:c>
      <x:c r="B67" s="111" t="str">
        <x:v>P08</x:v>
      </x:c>
      <x:c r="C67" s="111" t="str">
        <x:v>Feed, social actions, Store, and Connect</x:v>
      </x:c>
      <x:c r="D67" s="111" t="str"/>
      <x:c r="E67" s="111" t="str">
        <x:v>Legacy-mapped task</x:v>
      </x:c>
      <x:c r="F67" s="111" t="str">
        <x:v>Feed, social actions, Store, and Connect</x:v>
      </x:c>
      <x:c r="G67" s="111" t="str">
        <x:v>Build Store page</x:v>
      </x:c>
      <x:c r="H67" s="111" t="str">
        <x:v>In Progress</x:v>
      </x:c>
      <x:c r="I67" s="111" t="str">
        <x:v>UI Prototype</x:v>
      </x:c>
      <x:c r="J67" s="111" t="str">
        <x:v>Critical</x:v>
      </x:c>
      <x:c r="K67" s="111" t="str">
        <x:v>Engineering</x:v>
      </x:c>
      <x:c r="L67" s="111" t="str"/>
      <x:c r="M67" s="111" t="str">
        <x:v>Close the remaining gap: Launch-critical.</x:v>
      </x:c>
      <x:c r="N67" s="112"/>
      <x:c r="O67" s="111" t="str"/>
      <x:c r="P67" s="112" t="n">
        <x:v>46250.666666666664</x:v>
      </x:c>
      <x:c r="Q67" s="111" t="str">
        <x:v>Pumdoki Store front-end (Git branch: Store).</x:v>
      </x:c>
      <x:c r="R67" s="111" t="str">
        <x:v>Launch-critical. UI prototype exists. Target four noticeable YouTube-like medium thumbnails on common large desktops, with more columns on wider screens.</x:v>
      </x:c>
      <x:c r="S67" s="111" t="str">
        <x:v>Preserved Master Tracker row 73; legacy status: 🔄 In Progress</x:v>
      </x:c>
    </x:row>
    <x:row r="68" ht="46" customHeight="1">
      <x:c r="A68" s="111" t="str">
        <x:v>LEG-MT-074</x:v>
      </x:c>
      <x:c r="B68" s="111" t="str">
        <x:v>P08</x:v>
      </x:c>
      <x:c r="C68" s="111" t="str">
        <x:v>Feed, social actions, Store, and Connect</x:v>
      </x:c>
      <x:c r="D68" s="111" t="str"/>
      <x:c r="E68" s="111" t="str">
        <x:v>Legacy-mapped task</x:v>
      </x:c>
      <x:c r="F68" s="111" t="str">
        <x:v>Feed, social actions, Store, and Connect</x:v>
      </x:c>
      <x:c r="G68" s="111" t="str">
        <x:v>Build Connect page</x:v>
      </x:c>
      <x:c r="H68" s="111" t="str">
        <x:v>In Progress</x:v>
      </x:c>
      <x:c r="I68" s="111" t="str">
        <x:v>UI Prototype</x:v>
      </x:c>
      <x:c r="J68" s="111" t="str">
        <x:v>Critical</x:v>
      </x:c>
      <x:c r="K68" s="111" t="str">
        <x:v>Engineering</x:v>
      </x:c>
      <x:c r="L68" s="111" t="str"/>
      <x:c r="M68" s="111" t="str">
        <x:v>Build persisted creator discovery with online, price and language filters. Service/order terms need separate definition.</x:v>
      </x:c>
      <x:c r="N68" s="112"/>
      <x:c r="O68" s="111" t="str"/>
      <x:c r="P68" s="112" t="n">
        <x:v>46271.666666666664</x:v>
      </x:c>
      <x:c r="Q68" s="111" t="str">
        <x:v>Connect is a creator discovery/explore page. It does not itself imply an automated scheduling, booking or fulfillment system.</x:v>
      </x:c>
      <x:c r="R68" s="111" t="str">
        <x:v>Founder clarified September 6, 2026. Old full-booking interpretation superseded; launch discovery remains required.</x:v>
      </x:c>
      <x:c r="S68" s="111" t="str">
        <x:v>Preserved Master Tracker row 74; legacy status: 🔄 In Progress</x:v>
      </x:c>
    </x:row>
    <x:row r="69" ht="46" customHeight="1">
      <x:c r="A69" s="111" t="str">
        <x:v>LEG-MT-075</x:v>
      </x:c>
      <x:c r="B69" s="111" t="str">
        <x:v>P09</x:v>
      </x:c>
      <x:c r="C69" s="111" t="str">
        <x:v>Real-time messaging and notifications</x:v>
      </x:c>
      <x:c r="D69" s="111" t="str"/>
      <x:c r="E69" s="111" t="str">
        <x:v>Legacy-mapped task</x:v>
      </x:c>
      <x:c r="F69" s="111" t="str">
        <x:v>Real-time messaging and notifications</x:v>
      </x:c>
      <x:c r="G69" s="111" t="str">
        <x:v>Build Chat UI</x:v>
      </x:c>
      <x:c r="H69" s="111" t="str">
        <x:v>In Progress</x:v>
      </x:c>
      <x:c r="I69" s="111" t="str">
        <x:v>UI Prototype</x:v>
      </x:c>
      <x:c r="J69" s="111" t="str">
        <x:v>Critical</x:v>
      </x:c>
      <x:c r="K69" s="111" t="str">
        <x:v>Engineering</x:v>
      </x:c>
      <x:c r="L69" s="111" t="str"/>
      <x:c r="M69" s="111" t="str">
        <x:v>Close the remaining gap: Chat UI prototype exists.</x:v>
      </x:c>
      <x:c r="N69" s="112"/>
      <x:c r="O69" s="111" t="str"/>
      <x:c r="P69" s="112" t="n">
        <x:v>46271.666666666664</x:v>
      </x:c>
      <x:c r="Q69" s="111" t="str">
        <x:v>Real-time direct messaging using authenticated WebSockets. Advanced group/chat features remain post-MVP.</x:v>
      </x:c>
      <x:c r="R69" s="111" t="str">
        <x:v>Chat UI prototype exists. Persistence, WebSocket authorization, reconnect, read state, reporting, and rate limits are pending.</x:v>
      </x:c>
      <x:c r="S69" s="111" t="str">
        <x:v>Preserved Master Tracker row 75; legacy status: 🔄 In Progress</x:v>
      </x:c>
    </x:row>
    <x:row r="70" ht="46" customHeight="1">
      <x:c r="A70" s="111"/>
      <x:c r="B70" s="111"/>
      <x:c r="C70" s="111"/>
      <x:c r="D70" s="111" t="str"/>
      <x:c r="E70" s="111"/>
      <x:c r="F70" s="111"/>
      <x:c r="G70" s="111"/>
      <x:c r="H70" s="111"/>
      <x:c r="I70" s="111"/>
      <x:c r="J70" s="111"/>
      <x:c r="K70" s="111"/>
      <x:c r="L70" s="111" t="str"/>
      <x:c r="M70" s="111"/>
      <x:c r="N70" s="112"/>
      <x:c r="O70" s="111"/>
      <x:c r="P70" s="112"/>
      <x:c r="Q70" s="111"/>
      <x:c r="R70" s="111"/>
      <x:c r="S70" s="111"/>
    </x:row>
    <x:row r="71" ht="46" customHeight="1">
      <x:c r="A71" s="111" t="str">
        <x:v>LEG-MT-077</x:v>
      </x:c>
      <x:c r="B71" s="111" t="str">
        <x:v>P03</x:v>
      </x:c>
      <x:c r="C71" s="111" t="str">
        <x:v>Authentication, roles, and settings</x:v>
      </x:c>
      <x:c r="D71" s="111" t="str">
        <x:v>P05, P08</x:v>
      </x:c>
      <x:c r="E71" s="111" t="str">
        <x:v>Legacy-mapped task</x:v>
      </x:c>
      <x:c r="F71" s="111" t="str">
        <x:v>Authentication, roles, and settings</x:v>
      </x:c>
      <x:c r="G71" s="111" t="str">
        <x:v>Implement NSFW +18 content toggle</x:v>
      </x:c>
      <x:c r="H71" s="111" t="str">
        <x:v>In Progress</x:v>
      </x:c>
      <x:c r="I71" s="111" t="str">
        <x:v>Backend Implemented</x:v>
      </x:c>
      <x:c r="J71" s="111" t="str">
        <x:v>Medium</x:v>
      </x:c>
      <x:c r="K71" s="111" t="str">
        <x:v>Engineering</x:v>
      </x:c>
      <x:c r="L71" s="111" t="str"/>
      <x:c r="M71" s="111" t="str">
        <x:v>Close the remaining gap: Default-hidden preference persistence and protected Settings opt-in/immediate opt-out are implemented and CI-verified.</x:v>
      </x:c>
      <x:c r="N71" s="112"/>
      <x:c r="O71" s="111" t="str"/>
      <x:c r="P71" s="112" t="n">
        <x:v>46250.666666666664</x:v>
      </x:c>
      <x:c r="Q71" s="111" t="str">
        <x:v>User preference to hide or show explicit 18+ content across onboarding, Settings, feeds, search, Store, and Connect. Default hidden.</x:v>
      </x:c>
      <x:c r="R71" s="111" t="str">
        <x:v>Default-hidden preference persistence and protected Settings opt-in/immediate opt-out are implemented and CI-verified. Onboarding and server-side feed/search/Store/Connect enforcement remain pending.</x:v>
      </x:c>
      <x:c r="S71" s="111" t="str">
        <x:v>Preserved Master Tracker row 77; legacy status: 🔄 In Progress</x:v>
      </x:c>
    </x:row>
    <x:row r="72" ht="46" customHeight="1">
      <x:c r="A72" s="111" t="str">
        <x:v>LEG-MT-078</x:v>
      </x:c>
      <x:c r="B72" s="111" t="str">
        <x:v>P03</x:v>
      </x:c>
      <x:c r="C72" s="111" t="str">
        <x:v>Authentication, roles, and settings</x:v>
      </x:c>
      <x:c r="D72" s="111" t="str">
        <x:v>P01, P04, P06, P09</x:v>
      </x:c>
      <x:c r="E72" s="111" t="str">
        <x:v>Legacy-mapped task</x:v>
      </x:c>
      <x:c r="F72" s="111" t="str">
        <x:v>Authentication, roles, and settings</x:v>
      </x:c>
      <x:c r="G72" s="111" t="str">
        <x:v>Build settings page</x:v>
      </x:c>
      <x:c r="H72" s="111" t="str">
        <x:v>In Progress</x:v>
      </x:c>
      <x:c r="I72" s="111" t="str">
        <x:v>Backend Implemented</x:v>
      </x:c>
      <x:c r="J72" s="111" t="str">
        <x:v>High</x:v>
      </x:c>
      <x:c r="K72" s="111" t="str">
        <x:v>Engineering</x:v>
      </x:c>
      <x:c r="L72" s="111" t="str"/>
      <x:c r="M72" s="111" t="str">
        <x:v>Close the remaining gap: Protected Settings is implemented for display name, email/reverification, password, active sessions, and explicit-content preference.</x:v>
      </x:c>
      <x:c r="N72" s="112"/>
      <x:c r="O72" s="111" t="str"/>
      <x:c r="P72" s="112" t="n">
        <x:v>46250.666666666664</x:v>
      </x:c>
      <x:c r="Q72" s="111" t="str">
        <x:v>Account info, password change, notification preferences, theme toggle (Sakura Kiss / Midnight City), NSFW content toggle, payment/billing section.</x:v>
      </x:c>
      <x:c r="R72" s="111" t="str">
        <x:v>Protected Settings implements display name, email/reverification, password, active sessions and explicit-content preference. Theme selection is implemented browser-locally. Account theme sync, real notifications/billing, export and deletion remain pending.</x:v>
      </x:c>
      <x:c r="S72" s="111" t="str">
        <x:v>Preserved Master Tracker row 78; legacy status: 🔄 In Progress</x:v>
      </x:c>
    </x:row>
    <x:row r="73" ht="46" customHeight="1">
      <x:c r="A73" s="111" t="str">
        <x:v>LEG-MT-079</x:v>
      </x:c>
      <x:c r="B73" s="111" t="str">
        <x:v>P14</x:v>
      </x:c>
      <x:c r="C73" s="111" t="str">
        <x:v>QA, security, private beta, and launch</x:v>
      </x:c>
      <x:c r="D73" s="111" t="str"/>
      <x:c r="E73" s="111" t="str">
        <x:v>Legacy-mapped task</x:v>
      </x:c>
      <x:c r="F73" s="111" t="str">
        <x:v>Quality, beta &amp; launch readiness</x:v>
      </x:c>
      <x:c r="G73" s="111" t="str">
        <x:v>Build help / support page</x:v>
      </x:c>
      <x:c r="H73" s="111" t="str">
        <x:v>Not Started</x:v>
      </x:c>
      <x:c r="I73" s="111" t="str">
        <x:v>N/A</x:v>
      </x:c>
      <x:c r="J73" s="111" t="str">
        <x:v>Medium</x:v>
      </x:c>
      <x:c r="K73" s="111" t="str">
        <x:v>Engineering</x:v>
      </x:c>
      <x:c r="L73" s="111" t="str"/>
      <x:c r="M73" s="111" t="str">
        <x:v>Confirm dependencies and owner, then define the first deliverable.</x:v>
      </x:c>
      <x:c r="N73" s="112"/>
      <x:c r="O73" s="111" t="str"/>
      <x:c r="P73" s="112" t="n">
        <x:v>46250.666666666664</x:v>
      </x:c>
      <x:c r="Q73" s="111" t="str">
        <x:v>Basic FAQ page with accordion answers + simple contact/support form routed to founder inbox.</x:v>
      </x:c>
      <x:c r="R73" s="111" t="str">
        <x:v>Plain and functional for MVP. Expands post-launch.</x:v>
      </x:c>
      <x:c r="S73" s="111" t="str">
        <x:v>Preserved Master Tracker row 79; legacy status: 📋 Not Started</x:v>
      </x:c>
    </x:row>
    <x:row r="74" ht="46" customHeight="1">
      <x:c r="A74" s="111" t="str">
        <x:v>LEG-MT-080</x:v>
      </x:c>
      <x:c r="B74" s="111" t="str">
        <x:v>P08</x:v>
      </x:c>
      <x:c r="C74" s="111" t="str">
        <x:v>Feed, social actions, Store, and Connect</x:v>
      </x:c>
      <x:c r="D74" s="111" t="str">
        <x:v>P03, P05, P06, P07</x:v>
      </x:c>
      <x:c r="E74" s="111" t="str">
        <x:v>Legacy-mapped task</x:v>
      </x:c>
      <x:c r="F74" s="111" t="str">
        <x:v>Feed, social actions, Store, and Connect</x:v>
      </x:c>
      <x:c r="G74" s="111" t="str">
        <x:v>Build 'Your Activity' page</x:v>
      </x:c>
      <x:c r="H74" s="111" t="str">
        <x:v>In Progress</x:v>
      </x:c>
      <x:c r="I74" s="111" t="str">
        <x:v>UI Prototype</x:v>
      </x:c>
      <x:c r="J74" s="111" t="str">
        <x:v>Medium</x:v>
      </x:c>
      <x:c r="K74" s="111" t="str">
        <x:v>Engineering</x:v>
      </x:c>
      <x:c r="L74" s="111" t="str"/>
      <x:c r="M74" s="111" t="str">
        <x:v>Connect authenticated API and persisted member history after P05/P06/P07. Replace example data when real event sources exist.</x:v>
      </x:c>
      <x:c r="N74" s="112"/>
      <x:c r="O74" s="111" t="str">
        <x:v>apps/web/src/pages/ActivityPage.jsx; ActivityPage.test.jsx; tests/e2e/activity.spec.js; PLAN.md §12.</x:v>
      </x:c>
      <x:c r="P74" s="112" t="n">
        <x:v>46275.666666666664</x:v>
      </x:c>
      <x:c r="Q74" s="111" t="str">
        <x:v>P08 member history: liked posts, purchases, subscriptions and payment history. UI preview first; account-backed events follow.</x:v>
      </x:c>
      <x:c r="R74" s="111" t="str">
        <x:v>Promoted from Post-MVP to P08. /activity preview provides search/category filters and sidebar/header Your Activity links. Example data is explicitly labeled; authenticated account data, API and persistence remain pending. Focused UI tests passed.</x:v>
      </x:c>
      <x:c r="S74" s="111" t="str">
        <x:v>Master Tracker row 80; promoted to P08 September 10, 2026. Former duplicate Backlog row 14 cleared.</x:v>
      </x:c>
    </x:row>
    <x:row r="75" ht="46" customHeight="1">
      <x:c r="A75" s="111" t="str">
        <x:v>LEG-MT-081</x:v>
      </x:c>
      <x:c r="B75" s="111" t="str">
        <x:v>P05</x:v>
      </x:c>
      <x:c r="C75" s="111" t="str">
        <x:v>Media pipeline and content model</x:v>
      </x:c>
      <x:c r="D75" s="111" t="str"/>
      <x:c r="E75" s="111" t="str">
        <x:v>Legacy-mapped task</x:v>
      </x:c>
      <x:c r="F75" s="111" t="str">
        <x:v>Media pipeline and content model</x:v>
      </x:c>
      <x:c r="G75" s="111" t="str">
        <x:v>Improve Create Post ('Moments') modal</x:v>
      </x:c>
      <x:c r="H75" s="111" t="str">
        <x:v>Done</x:v>
      </x:c>
      <x:c r="I75" s="111" t="str">
        <x:v>Integrated</x:v>
      </x:c>
      <x:c r="J75" s="111" t="str">
        <x:v>Low</x:v>
      </x:c>
      <x:c r="K75" s="111" t="str">
        <x:v>Engineering</x:v>
      </x:c>
      <x:c r="L75" s="111" t="str"/>
      <x:c r="M75" s="111" t="str">
        <x:v>No action; reopen only if the approved scope changes.</x:v>
      </x:c>
      <x:c r="N75" s="112"/>
      <x:c r="O75" s="111" t="str"/>
      <x:c r="P75" s="112" t="n">
        <x:v>46250.666666666664</x:v>
      </x:c>
      <x:c r="Q75" s="111" t="str">
        <x:v>Replace generic 'What's on your mind?' with Pumdoki-voice copy. Add locked/subscriber-only content state. Improve layout and brand feel.</x:v>
      </x:c>
      <x:c r="R75" s="111" t="str">
        <x:v>Basic modal exists. Needs Pumdoki language, locked content toggle, and improved visual polish.</x:v>
      </x:c>
      <x:c r="S75" s="111" t="str">
        <x:v>Preserved Master Tracker row 81; legacy status: ✅ Done</x:v>
      </x:c>
    </x:row>
    <x:row r="76" ht="46" customHeight="1">
      <x:c r="A76" s="111" t="str">
        <x:v>LEG-MT-082</x:v>
      </x:c>
      <x:c r="B76" s="111" t="str">
        <x:v>P01</x:v>
      </x:c>
      <x:c r="C76" s="111" t="str">
        <x:v>Repository and frontend foundation</x:v>
      </x:c>
      <x:c r="D76" s="111" t="str"/>
      <x:c r="E76" s="111" t="str">
        <x:v>Legacy-mapped task</x:v>
      </x:c>
      <x:c r="F76" s="111" t="str">
        <x:v>Repository and frontend foundation</x:v>
      </x:c>
      <x:c r="G76" s="111" t="str">
        <x:v>Improve side navigation drawer</x:v>
      </x:c>
      <x:c r="H76" s="111" t="str">
        <x:v>Done</x:v>
      </x:c>
      <x:c r="I76" s="111" t="str">
        <x:v>Integrated</x:v>
      </x:c>
      <x:c r="J76" s="111" t="str">
        <x:v>Low</x:v>
      </x:c>
      <x:c r="K76" s="111" t="str">
        <x:v>Engineering</x:v>
      </x:c>
      <x:c r="L76" s="111" t="str"/>
      <x:c r="M76" s="111" t="str">
        <x:v>No action; reopen only if the approved scope changes.</x:v>
      </x:c>
      <x:c r="N76" s="112"/>
      <x:c r="O76" s="111" t="str"/>
      <x:c r="P76" s="112" t="n">
        <x:v>46250.666666666664</x:v>
      </x:c>
      <x:c r="Q76" s="111" t="str">
        <x:v>Make drawer slightly larger and use darker, more vibrant colors. Currently blends too much into the background — needs presence like Instagram's nav.</x:v>
      </x:c>
      <x:c r="R76" s="111" t="str">
        <x:v>Drawer functional but visually weak. Increase icon size, darken colors, improve active state.</x:v>
      </x:c>
      <x:c r="S76" s="111" t="str">
        <x:v>Preserved Master Tracker row 82; legacy status: ✅ Done</x:v>
      </x:c>
    </x:row>
    <x:row r="77" ht="46" customHeight="1">
      <x:c r="A77" s="111" t="str">
        <x:v>LEG-MT-083</x:v>
      </x:c>
      <x:c r="B77" s="111" t="str">
        <x:v>P09</x:v>
      </x:c>
      <x:c r="C77" s="111" t="str">
        <x:v>Real-time messaging and notifications</x:v>
      </x:c>
      <x:c r="D77" s="111" t="str"/>
      <x:c r="E77" s="111" t="str">
        <x:v>Legacy-mapped task</x:v>
      </x:c>
      <x:c r="F77" s="111" t="str">
        <x:v>Real-time messaging and notifications</x:v>
      </x:c>
      <x:c r="G77" s="111" t="str">
        <x:v>Fix chat: offline avatar + notification badge</x:v>
      </x:c>
      <x:c r="H77" s="111" t="str">
        <x:v>Done</x:v>
      </x:c>
      <x:c r="I77" s="111" t="str">
        <x:v>Integrated</x:v>
      </x:c>
      <x:c r="J77" s="111" t="str">
        <x:v>Low</x:v>
      </x:c>
      <x:c r="K77" s="111" t="str">
        <x:v>Engineering</x:v>
      </x:c>
      <x:c r="L77" s="111" t="str"/>
      <x:c r="M77" s="111" t="str">
        <x:v>No action; reopen only if the approved scope changes.</x:v>
      </x:c>
      <x:c r="N77" s="112"/>
      <x:c r="O77" s="111" t="str"/>
      <x:c r="P77" s="112" t="n">
        <x:v>46250.666666666664</x:v>
      </x:c>
      <x:c r="Q77" s="111" t="str">
        <x:v>Show creator offline avatar/indicator when creator is offline. Show unread notification badge on minimized chat. Currently missing both.</x:v>
      </x:c>
      <x:c r="R77" s="111" t="str">
        <x:v>Chat functional but missing offline state and notification badge on minimized view.</x:v>
      </x:c>
      <x:c r="S77" s="111" t="str">
        <x:v>Preserved Master Tracker row 83; legacy status: ✅ Done</x:v>
      </x:c>
    </x:row>
    <x:row r="78" ht="46" customHeight="1">
      <x:c r="A78" s="111" t="str">
        <x:v>LEG-MT-084</x:v>
      </x:c>
      <x:c r="B78" s="111" t="str">
        <x:v>P10</x:v>
      </x:c>
      <x:c r="C78" s="111" t="str">
        <x:v>Creator dashboard</x:v>
      </x:c>
      <x:c r="D78" s="111" t="str"/>
      <x:c r="E78" s="111" t="str">
        <x:v>Legacy-mapped task</x:v>
      </x:c>
      <x:c r="F78" s="111" t="str">
        <x:v>Creator dashboard</x:v>
      </x:c>
      <x:c r="G78" s="111" t="str">
        <x:v>Build creator dashboard UI</x:v>
      </x:c>
      <x:c r="H78" s="111" t="str">
        <x:v>In Progress</x:v>
      </x:c>
      <x:c r="I78" s="111" t="str">
        <x:v>UI Prototype</x:v>
      </x:c>
      <x:c r="J78" s="111" t="str">
        <x:v>Low</x:v>
      </x:c>
      <x:c r="K78" s="111" t="str">
        <x:v>Engineering</x:v>
      </x:c>
      <x:c r="L78" s="111" t="str"/>
      <x:c r="M78" s="111" t="str">
        <x:v>Close the remaining gap: Large UI prototype exists.</x:v>
      </x:c>
      <x:c r="N78" s="112"/>
      <x:c r="O78" s="111" t="str"/>
      <x:c r="P78" s="112" t="n">
        <x:v>46250.666666666664</x:v>
      </x:c>
      <x:c r="Q78" s="111" t="str">
        <x:v>Creator-facing analytics dashboard: revenue chart, active subscribers, profile visits, live activity feed, revenue by source, top performing posts, top fans, quick actions.</x:v>
      </x:c>
      <x:c r="R78" s="111" t="str">
        <x:v>Large UI prototype exists. Backend data, actions, reconciliation, and tests remain. Live Streaming stays disabled post-MVP.</x:v>
      </x:c>
      <x:c r="S78" s="111" t="str">
        <x:v>Preserved Master Tracker row 84; legacy status: 🔄 In Progress</x:v>
      </x:c>
    </x:row>
    <x:row r="79" ht="46" customHeight="1">
      <x:c r="A79" s="111" t="str">
        <x:v>LEG-MT-085</x:v>
      </x:c>
      <x:c r="B79" s="111" t="str">
        <x:v>P08</x:v>
      </x:c>
      <x:c r="C79" s="111" t="str">
        <x:v>Feed, social actions, Store, and Connect</x:v>
      </x:c>
      <x:c r="D79" s="111" t="str"/>
      <x:c r="E79" s="111" t="str">
        <x:v>Legacy-mapped task</x:v>
      </x:c>
      <x:c r="F79" s="111" t="str">
        <x:v>Feed, social actions, Store, and Connect</x:v>
      </x:c>
      <x:c r="G79" s="111" t="str">
        <x:v>Improve landing page posts visuals</x:v>
      </x:c>
      <x:c r="H79" s="111" t="str">
        <x:v>Done</x:v>
      </x:c>
      <x:c r="I79" s="111" t="str">
        <x:v>Integrated</x:v>
      </x:c>
      <x:c r="J79" s="111" t="str">
        <x:v>Low</x:v>
      </x:c>
      <x:c r="K79" s="111" t="str">
        <x:v>Engineering</x:v>
      </x:c>
      <x:c r="L79" s="111" t="str"/>
      <x:c r="M79" s="111" t="str">
        <x:v>No action; reopen only if the approved scope changes.</x:v>
      </x:c>
      <x:c r="N79" s="112"/>
      <x:c r="O79" s="111" t="str"/>
      <x:c r="P79" s="112" t="n">
        <x:v>46250.666666666664</x:v>
      </x:c>
      <x:c r="Q79" s="111" t="str">
        <x:v>Add a checkmark, a follow buttom, re-arrenge For You / Following and flip sides, add logic to For You (X inspired), </x:v>
      </x:c>
      <x:c r="R79" s="111" t="str">
        <x:v>Post visual already in place. Need to add more features and complex logic to the For You page</x:v>
      </x:c>
      <x:c r="S79" s="111" t="str">
        <x:v>Preserved Master Tracker row 85; legacy status: ✅ Done</x:v>
      </x:c>
    </x:row>
    <x:row r="80" ht="46" customHeight="1">
      <x:c r="A80" s="111" t="str">
        <x:v>LEG-MT-087</x:v>
      </x:c>
      <x:c r="B80" s="111" t="str">
        <x:v>P05</x:v>
      </x:c>
      <x:c r="C80" s="111" t="str">
        <x:v>Media pipeline and content model</x:v>
      </x:c>
      <x:c r="D80" s="111" t="str"/>
      <x:c r="E80" s="111" t="str">
        <x:v>Legacy-mapped task</x:v>
      </x:c>
      <x:c r="F80" s="111" t="str">
        <x:v>Media pipeline and content model</x:v>
      </x:c>
      <x:c r="G80" s="111" t="str">
        <x:v>Define post / content model</x:v>
      </x:c>
      <x:c r="H80" s="111" t="str">
        <x:v>In Review</x:v>
      </x:c>
      <x:c r="I80" s="111" t="str">
        <x:v>N/A</x:v>
      </x:c>
      <x:c r="J80" s="111" t="str">
        <x:v>Medium</x:v>
      </x:c>
      <x:c r="K80" s="111" t="str">
        <x:v>Engineering</x:v>
      </x:c>
      <x:c r="L80" s="111" t="str">
        <x:v>Targeted review during relevant slice</x:v>
      </x:c>
      <x:c r="M80" s="111" t="str">
        <x:v>Local ContentPost/MediaAsset model implemented. Broader content/access design remains In Review. Review revisions, paid audiences and production eligibility before live sensitive use.</x:v>
      </x:c>
      <x:c r="N80" s="112"/>
      <x:c r="O80" s="111" t="str">
        <x:v>docs/architecture/phase5-slice1-content-model-and-access-design.md</x:v>
      </x:c>
      <x:c r="P80" s="112" t="n">
        <x:v>46274.666666666664</x:v>
      </x:c>
      <x:c r="Q80" s="111" t="str">
        <x:v>Creator posting, visibility flags (public/subscriber/tier-locked), member access rules.</x:v>
      </x:c>
      <x:c r="R80" s="111" t="str">
        <x:v>Safe test posts persist locally with sealed bodies/media identities. No paid offers or real creator eligibility. Full content/access design and human review remain open.</x:v>
      </x:c>
      <x:c r="S80" s="111" t="str">
        <x:v>Preserved Master Tracker row 87; legacy status: 📋 Not Started</x:v>
      </x:c>
    </x:row>
    <x:row r="81" ht="46" customHeight="1">
      <x:c r="A81" s="111" t="str">
        <x:v>LEG-MT-088</x:v>
      </x:c>
      <x:c r="B81" s="111" t="str">
        <x:v>P05</x:v>
      </x:c>
      <x:c r="C81" s="111" t="str">
        <x:v>Media pipeline and content model</x:v>
      </x:c>
      <x:c r="D81" s="111" t="str"/>
      <x:c r="E81" s="111" t="str">
        <x:v>Legacy-mapped task</x:v>
      </x:c>
      <x:c r="F81" s="111" t="str">
        <x:v>Media pipeline and content model</x:v>
      </x:c>
      <x:c r="G81" s="111" t="str">
        <x:v>Build media upload pipeline</x:v>
      </x:c>
      <x:c r="H81" s="111" t="str">
        <x:v>In Progress</x:v>
      </x:c>
      <x:c r="I81" s="111" t="str">
        <x:v>Backend Implemented</x:v>
      </x:c>
      <x:c r="J81" s="111" t="str">
        <x:v>Critical</x:v>
      </x:c>
      <x:c r="K81" s="111" t="str">
        <x:v>Engineering</x:v>
      </x:c>
      <x:c r="L81" s="111" t="str">
        <x:v>Founder review of working local R2 flow</x:v>
      </x:c>
      <x:c r="M81" s="111" t="str">
        <x:v>Review safe photo/video upload, draft reload, publish/member read and removal in the local preview. R2 account, credentials and private access are verified. No deployment or processor approval is implied.</x:v>
      </x:c>
      <x:c r="N81" s="112"/>
      <x:c r="O81" s="111" t="str">
        <x:v>HANDOFF.md</x:v>
      </x:c>
      <x:c r="P81" s="112" t="n">
        <x:v>46274.666666666664</x:v>
      </x:c>
      <x:c r="Q81" s="111" t="str">
        <x:v>Image/video upload → Cloudflare R2 storage → signed URL delivery.</x:v>
      </x:c>
      <x:c r="R81" s="111" t="str">
        <x:v>R2 PNG/MP4 API and browser paths passed, including image display/video playback, private drafts, publish/ranges and removal. API restart preserved posts/session/identical bytes. Public access disabled. All 5 test objects deleted and absence checked. HANDOFF.md.</x:v>
      </x:c>
      <x:c r="S81" s="111" t="str">
        <x:v>Preserved Master Tracker row 88; legacy status: 📋 Not Started</x:v>
      </x:c>
    </x:row>
    <x:row r="82" ht="46" customHeight="1">
      <x:c r="A82" s="111" t="str">
        <x:v>LEG-MT-089</x:v>
      </x:c>
      <x:c r="B82" s="111" t="str">
        <x:v>P05</x:v>
      </x:c>
      <x:c r="C82" s="111" t="str">
        <x:v>Media pipeline and content model</x:v>
      </x:c>
      <x:c r="D82" s="111" t="str"/>
      <x:c r="E82" s="111" t="str">
        <x:v>Legacy-mapped task</x:v>
      </x:c>
      <x:c r="F82" s="111" t="str">
        <x:v>Media pipeline and content model</x:v>
      </x:c>
      <x:c r="G82" s="111" t="str">
        <x:v>Define public vs private asset rules</x:v>
      </x:c>
      <x:c r="H82" s="111" t="str">
        <x:v>In Review</x:v>
      </x:c>
      <x:c r="I82" s="111" t="str">
        <x:v>N/A</x:v>
      </x:c>
      <x:c r="J82" s="111" t="str">
        <x:v>Medium</x:v>
      </x:c>
      <x:c r="K82" s="111" t="str">
        <x:v>Engineering</x:v>
      </x:c>
      <x:c r="L82" s="111" t="str">
        <x:v>Targeted review during relevant slice</x:v>
      </x:c>
      <x:c r="M82" s="111" t="str">
        <x:v>Local per-request authorization and draft privacy are tested. Review remaining paid entitlements, explicit content and live eligibility before enabling those flows.</x:v>
      </x:c>
      <x:c r="N82" s="112"/>
      <x:c r="O82" s="111" t="str">
        <x:v>docs/architecture/phase5-slice1-content-model-and-access-design.md</x:v>
      </x:c>
      <x:c r="P82" s="112" t="n">
        <x:v>46274.666666666664</x:v>
      </x:c>
      <x:c r="Q82" s="111" t="str">
        <x:v>Separate teaser, paid, and internal assets with signed URL gating.</x:v>
      </x:c>
      <x:c r="R82" s="111" t="str">
        <x:v>Local member reads require an active verified test session. Removal/suspension revoke media access. Disabled by default and rejected in production. Real identity, adult uploads and money remain unavailable.</x:v>
      </x:c>
      <x:c r="S82" s="111" t="str">
        <x:v>Preserved Master Tracker row 89; legacy status: 📋 Not Started</x:v>
      </x:c>
    </x:row>
    <x:row r="83" ht="46" customHeight="1">
      <x:c r="A83" s="111" t="str">
        <x:v>LEG-MT-090</x:v>
      </x:c>
      <x:c r="B83" s="111" t="str">
        <x:v>P05</x:v>
      </x:c>
      <x:c r="C83" s="111" t="str">
        <x:v>Media pipeline and content model</x:v>
      </x:c>
      <x:c r="D83" s="111" t="str"/>
      <x:c r="E83" s="111" t="str">
        <x:v>Legacy-mapped task</x:v>
      </x:c>
      <x:c r="F83" s="111" t="str">
        <x:v>Media pipeline and content model</x:v>
      </x:c>
      <x:c r="G83" s="111" t="str">
        <x:v>Implement media optimization</x:v>
      </x:c>
      <x:c r="H83" s="111" t="str">
        <x:v>Not Started</x:v>
      </x:c>
      <x:c r="I83" s="111" t="str">
        <x:v>N/A</x:v>
      </x:c>
      <x:c r="J83" s="111" t="str">
        <x:v>Medium</x:v>
      </x:c>
      <x:c r="K83" s="111" t="str">
        <x:v>Engineering</x:v>
      </x:c>
      <x:c r="L83" s="111" t="str"/>
      <x:c r="M83" s="111" t="str">
        <x:v>Confirm dependencies and owner, then define the first deliverable.</x:v>
      </x:c>
      <x:c r="N83" s="112"/>
      <x:c r="O83" s="111" t="str"/>
      <x:c r="P83" s="112" t="n">
        <x:v>46250.666666666664</x:v>
      </x:c>
      <x:c r="Q83" s="111" t="str">
        <x:v>Compress/transcode images and video (thumbnails, adaptive quality).</x:v>
      </x:c>
      <x:c r="R83" s="111" t="str">
        <x:v>Needed for smoother UX.</x:v>
      </x:c>
      <x:c r="S83" s="111" t="str">
        <x:v>Preserved Master Tracker row 90; legacy status: 📋 Not Started</x:v>
      </x:c>
    </x:row>
    <x:row r="84" ht="46" customHeight="1">
      <x:c r="A84" s="111" t="str">
        <x:v>LEG-MT-091</x:v>
      </x:c>
      <x:c r="B84" s="111" t="str">
        <x:v>P05</x:v>
      </x:c>
      <x:c r="C84" s="111" t="str">
        <x:v>Media pipeline and content model</x:v>
      </x:c>
      <x:c r="D84" s="111" t="str"/>
      <x:c r="E84" s="111" t="str">
        <x:v>Legacy-mapped task</x:v>
      </x:c>
      <x:c r="F84" s="111" t="str">
        <x:v>Media pipeline and content model</x:v>
      </x:c>
      <x:c r="G84" s="111" t="str">
        <x:v>Implement watermarking / content protection</x:v>
      </x:c>
      <x:c r="H84" s="111" t="str">
        <x:v>Not Started</x:v>
      </x:c>
      <x:c r="I84" s="111" t="str">
        <x:v>N/A</x:v>
      </x:c>
      <x:c r="J84" s="111" t="str">
        <x:v>Medium</x:v>
      </x:c>
      <x:c r="K84" s="111" t="str">
        <x:v>Engineering</x:v>
      </x:c>
      <x:c r="L84" s="111" t="str"/>
      <x:c r="M84" s="111" t="str">
        <x:v>Confirm dependencies and owner, then define the first deliverable.</x:v>
      </x:c>
      <x:c r="N84" s="112"/>
      <x:c r="O84" s="111" t="str"/>
      <x:c r="P84" s="112" t="n">
        <x:v>46250.666666666664</x:v>
      </x:c>
      <x:c r="Q84" s="111" t="str">
        <x:v>Visible + invisible watermarks to reduce re-sharing risk.</x:v>
      </x:c>
      <x:c r="R84" s="111" t="str">
        <x:v>Protection planning in scope.</x:v>
      </x:c>
      <x:c r="S84" s="111" t="str">
        <x:v>Preserved Master Tracker row 91; legacy status: 📋 Not Started</x:v>
      </x:c>
    </x:row>
    <x:row r="85" ht="46" customHeight="1">
      <x:c r="A85" s="111" t="str">
        <x:v>LEG-MT-092</x:v>
      </x:c>
      <x:c r="B85" s="111" t="str">
        <x:v>P11</x:v>
      </x:c>
      <x:c r="C85" s="111" t="str">
        <x:v>Admin and moderation</x:v>
      </x:c>
      <x:c r="D85" s="111" t="str"/>
      <x:c r="E85" s="111" t="str">
        <x:v>Legacy-mapped task</x:v>
      </x:c>
      <x:c r="F85" s="111" t="str">
        <x:v>Private operations &amp; moderation</x:v>
      </x:c>
      <x:c r="G85" s="111" t="str">
        <x:v>Build moderation review flow</x:v>
      </x:c>
      <x:c r="H85" s="111" t="str">
        <x:v>Not Started</x:v>
      </x:c>
      <x:c r="I85" s="111" t="str">
        <x:v>N/A</x:v>
      </x:c>
      <x:c r="J85" s="111" t="str">
        <x:v>High</x:v>
      </x:c>
      <x:c r="K85" s="111" t="str">
        <x:v>Engineering</x:v>
      </x:c>
      <x:c r="L85" s="111" t="str">
        <x:v>Private-operations security gates</x:v>
      </x:c>
      <x:c r="M85" s="111" t="str">
        <x:v>Confirm dependencies and owner, then define the first deliverable.</x:v>
      </x:c>
      <x:c r="N85" s="112"/>
      <x:c r="O85" s="111" t="str"/>
      <x:c r="P85" s="112" t="n">
        <x:v>46250.666666666664</x:v>
      </x:c>
      <x:c r="Q85" s="111" t="str">
        <x:v>Flagged items reviewed and actioned by admin.</x:v>
      </x:c>
      <x:c r="R85" s="111" t="str">
        <x:v>Required for platform operations.</x:v>
      </x:c>
      <x:c r="S85" s="111" t="str">
        <x:v>Preserved Master Tracker row 92; legacy status: 📋 Not Started</x:v>
      </x:c>
    </x:row>
    <x:row r="86" ht="46" customHeight="1">
      <x:c r="A86" s="111" t="str">
        <x:v>LEG-MT-094</x:v>
      </x:c>
      <x:c r="B86" s="111" t="str">
        <x:v>P06</x:v>
      </x:c>
      <x:c r="C86" s="111" t="str">
        <x:v>Payments, subscriptions, tipping, and PPV</x:v>
      </x:c>
      <x:c r="D86" s="111" t="str"/>
      <x:c r="E86" s="111" t="str">
        <x:v>Legacy-mapped task</x:v>
      </x:c>
      <x:c r="F86" s="111" t="str">
        <x:v>Payments &amp; entitlements</x:v>
      </x:c>
      <x:c r="G86" s="111" t="str">
        <x:v>Integrate CCBill (primary processor)</x:v>
      </x:c>
      <x:c r="H86" s="111" t="str">
        <x:v>In Progress</x:v>
      </x:c>
      <x:c r="I86" s="111" t="str">
        <x:v>Decision Locked</x:v>
      </x:c>
      <x:c r="J86" s="111" t="str">
        <x:v>Medium</x:v>
      </x:c>
      <x:c r="K86" s="111" t="str">
        <x:v>Founder</x:v>
      </x:c>
      <x:c r="L86" s="111" t="str">
        <x:v>Founder + provider response</x:v>
      </x:c>
      <x:c r="M86" s="111" t="str">
        <x:v>Build the functioning review site through the current slices. Return to CCBill when review-ready; merchant approval and technical payment integration remain future work.</x:v>
      </x:c>
      <x:c r="N86" s="112"/>
      <x:c r="O86" s="111" t="str">
        <x:v>docs/product/initial-ccbill-inquiry.md; PLAN.md §21; HANDOFF.md safe-content/R2 verification.</x:v>
      </x:c>
      <x:c r="P86" s="112" t="n">
        <x:v>46275.666666666664</x:v>
      </x:c>
      <x:c r="Q86" s="111" t="str">
        <x:v>CCBill is the intended primary processor. Sales/site preparation is underway. Formal merchant approval, API/webhooks and subscription billing remain unimplemented.</x:v>
      </x:c>
      <x:c r="R86" s="111" t="str">
        <x:v>Inquiry sent and Sales reply received. CCBill requires a fully functioning online site, which may be password protected. The site is being built; no review-ready site, approved account or payment backend is claimed.</x:v>
      </x:c>
      <x:c r="S86" s="111" t="str">
        <x:v>Master Tracker row 94; preparation stage reconciled September 10, 2026.</x:v>
      </x:c>
    </x:row>
    <x:row r="87" ht="46" customHeight="1">
      <x:c r="A87" s="111" t="str">
        <x:v>LEG-MT-095</x:v>
      </x:c>
      <x:c r="B87" s="111" t="str">
        <x:v>P06</x:v>
      </x:c>
      <x:c r="C87" s="111" t="str">
        <x:v>Payments, subscriptions, tipping, and PPV</x:v>
      </x:c>
      <x:c r="D87" s="111" t="str"/>
      <x:c r="E87" s="111" t="str">
        <x:v>Legacy-mapped task</x:v>
      </x:c>
      <x:c r="F87" s="111" t="str">
        <x:v>Payments &amp; entitlements</x:v>
      </x:c>
      <x:c r="G87" s="111" t="str">
        <x:v>Integrate Epoch (cascade fallback)</x:v>
      </x:c>
      <x:c r="H87" s="111" t="str">
        <x:v>Not Started</x:v>
      </x:c>
      <x:c r="I87" s="111" t="str">
        <x:v>N/A</x:v>
      </x:c>
      <x:c r="J87" s="111" t="str">
        <x:v>Medium</x:v>
      </x:c>
      <x:c r="K87" s="111" t="str">
        <x:v>Founder</x:v>
      </x:c>
      <x:c r="L87" s="111" t="str">
        <x:v>Founder + provider response</x:v>
      </x:c>
      <x:c r="M87" s="111" t="str">
        <x:v>After core policies/entity details are ready, discuss Epoch fit and any fallback design. Do not implement until the account-specific model is confirmed.</x:v>
      </x:c>
      <x:c r="N87" s="112"/>
      <x:c r="O87" s="111" t="str"/>
      <x:c r="P87" s="112" t="n">
        <x:v>46275.666666666664</x:v>
      </x:c>
      <x:c r="Q87" s="111" t="str">
        <x:v>Set up Epoch as secondary for transactions CCBill declines.</x:v>
      </x:c>
      <x:c r="R87" s="111" t="str">
        <x:v>CCBill review-site preparation is underway. Epoch is an intended fallback only; outreach, approval and integration have not started.</x:v>
      </x:c>
      <x:c r="S87" s="111" t="str">
        <x:v>Preserved Master Tracker row 95; legacy status: 📋 Not Started</x:v>
      </x:c>
    </x:row>
    <x:row r="88" ht="46" customHeight="1">
      <x:c r="A88" s="111" t="str">
        <x:v>LEG-MT-096</x:v>
      </x:c>
      <x:c r="B88" s="111" t="str">
        <x:v>P06</x:v>
      </x:c>
      <x:c r="C88" s="111" t="str">
        <x:v>Payments, subscriptions, tipping, and PPV</x:v>
      </x:c>
      <x:c r="D88" s="111" t="str"/>
      <x:c r="E88" s="111" t="str">
        <x:v>Legacy-mapped task</x:v>
      </x:c>
      <x:c r="F88" s="111" t="str">
        <x:v>Payments &amp; entitlements</x:v>
      </x:c>
      <x:c r="G88" s="111" t="str">
        <x:v>Build payment cascading logic</x:v>
      </x:c>
      <x:c r="H88" s="111" t="str">
        <x:v>Not Started</x:v>
      </x:c>
      <x:c r="I88" s="111" t="str">
        <x:v>N/A</x:v>
      </x:c>
      <x:c r="J88" s="111" t="str">
        <x:v>Medium</x:v>
      </x:c>
      <x:c r="K88" s="111" t="str">
        <x:v>Engineering</x:v>
      </x:c>
      <x:c r="L88" s="111" t="str">
        <x:v>Founder + provider response</x:v>
      </x:c>
      <x:c r="M88" s="111" t="str">
        <x:v>Obtain written technical/commercial confirmation from both processors before implementing cascade routing.</x:v>
      </x:c>
      <x:c r="N88" s="112"/>
      <x:c r="O88" s="111" t="str"/>
      <x:c r="P88" s="112" t="n">
        <x:v>46275.666666666664</x:v>
      </x:c>
      <x:c r="Q88" s="111" t="str">
        <x:v>Route failed CCBill transactions automatically to Epoch before returning decline.</x:v>
      </x:c>
      <x:c r="R88" s="111" t="str">
        <x:v>CCBill review-site preparation is underway. No Epoch outreach or account-specific cascade approval is evidenced; routing is unimplemented.</x:v>
      </x:c>
      <x:c r="S88" s="111" t="str">
        <x:v>Preserved Master Tracker row 96; legacy status: 📋 Not Started</x:v>
      </x:c>
    </x:row>
    <x:row r="89" ht="46" customHeight="1">
      <x:c r="A89" s="111" t="str">
        <x:v>LEG-MT-097</x:v>
      </x:c>
      <x:c r="B89" s="111" t="str">
        <x:v>P06</x:v>
      </x:c>
      <x:c r="C89" s="111" t="str">
        <x:v>Payments, subscriptions, tipping, and PPV</x:v>
      </x:c>
      <x:c r="D89" s="111" t="str"/>
      <x:c r="E89" s="111" t="str">
        <x:v>Legacy-mapped task</x:v>
      </x:c>
      <x:c r="F89" s="111" t="str">
        <x:v>Payments &amp; entitlements</x:v>
      </x:c>
      <x:c r="G89" s="111" t="str">
        <x:v>Implement recurring subscription billing</x:v>
      </x:c>
      <x:c r="H89" s="111" t="str">
        <x:v>Not Started</x:v>
      </x:c>
      <x:c r="I89" s="111" t="str">
        <x:v>N/A</x:v>
      </x:c>
      <x:c r="J89" s="111" t="str">
        <x:v>High</x:v>
      </x:c>
      <x:c r="K89" s="111" t="str">
        <x:v>Engineering</x:v>
      </x:c>
      <x:c r="L89" s="111" t="str">
        <x:v>Founder + provider response</x:v>
      </x:c>
      <x:c r="M89" s="111" t="str">
        <x:v>Agree the processor-supported payment flow and obtain the required account setup before implementing billing and trusted payment events.</x:v>
      </x:c>
      <x:c r="N89" s="112"/>
      <x:c r="O89" s="111" t="str"/>
      <x:c r="P89" s="112" t="n">
        <x:v>46275.666666666664</x:v>
      </x:c>
      <x:c r="Q89" s="111" t="str">
        <x:v>Create the actual subscription/payment flow through CCBill/Epoch.</x:v>
      </x:c>
      <x:c r="R89" s="111" t="str">
        <x:v>CCBill review-site preparation is underway. Recurring billing and payment-webhook handling are not implemented.</x:v>
      </x:c>
      <x:c r="S89" s="111" t="str">
        <x:v>Preserved Master Tracker row 97; legacy status: 📋 Not Started</x:v>
      </x:c>
    </x:row>
    <x:row r="90" ht="46" customHeight="1">
      <x:c r="A90" s="111" t="str">
        <x:v>LEG-MT-098</x:v>
      </x:c>
      <x:c r="B90" s="111" t="str">
        <x:v>P06</x:v>
      </x:c>
      <x:c r="C90" s="111" t="str">
        <x:v>Payments, subscriptions, tipping, and PPV</x:v>
      </x:c>
      <x:c r="D90" s="111" t="str"/>
      <x:c r="E90" s="111" t="str">
        <x:v>Legacy-mapped task</x:v>
      </x:c>
      <x:c r="F90" s="111" t="str">
        <x:v>Payments &amp; entitlements</x:v>
      </x:c>
      <x:c r="G90" s="111" t="str">
        <x:v>Build renewal / cancel logic</x:v>
      </x:c>
      <x:c r="H90" s="111" t="str">
        <x:v>Not Started</x:v>
      </x:c>
      <x:c r="I90" s="111" t="str">
        <x:v>N/A</x:v>
      </x:c>
      <x:c r="J90" s="111" t="str">
        <x:v>Medium</x:v>
      </x:c>
      <x:c r="K90" s="111" t="str">
        <x:v>Engineering</x:v>
      </x:c>
      <x:c r="L90" s="111" t="str"/>
      <x:c r="M90" s="111" t="str">
        <x:v>Confirm dependencies and owner, then define the first deliverable.</x:v>
      </x:c>
      <x:c r="N90" s="112"/>
      <x:c r="O90" s="111" t="str"/>
      <x:c r="P90" s="112" t="n">
        <x:v>46250.666666666664</x:v>
      </x:c>
      <x:c r="Q90" s="111" t="str">
        <x:v>Recurring billing state changes, grace periods, cancellations.</x:v>
      </x:c>
      <x:c r="R90" s="111" t="str">
        <x:v>Needed for subscription lifecycle.</x:v>
      </x:c>
      <x:c r="S90" s="111" t="str">
        <x:v>Preserved Master Tracker row 98; legacy status: 📋 Not Started</x:v>
      </x:c>
    </x:row>
    <x:row r="91" ht="46" customHeight="1">
      <x:c r="A91" s="111" t="str">
        <x:v>LEG-MT-099</x:v>
      </x:c>
      <x:c r="B91" s="111" t="str">
        <x:v>P06</x:v>
      </x:c>
      <x:c r="C91" s="111" t="str">
        <x:v>Payments, subscriptions, tipping, and PPV</x:v>
      </x:c>
      <x:c r="D91" s="111" t="str"/>
      <x:c r="E91" s="111" t="str">
        <x:v>Legacy-mapped task</x:v>
      </x:c>
      <x:c r="F91" s="111" t="str">
        <x:v>Payments &amp; entitlements</x:v>
      </x:c>
      <x:c r="G91" s="111" t="str">
        <x:v>Tie access gating to subscription status</x:v>
      </x:c>
      <x:c r="H91" s="111" t="str">
        <x:v>Not Started</x:v>
      </x:c>
      <x:c r="I91" s="111" t="str">
        <x:v>N/A</x:v>
      </x:c>
      <x:c r="J91" s="111" t="str">
        <x:v>Critical</x:v>
      </x:c>
      <x:c r="K91" s="111" t="str">
        <x:v>Engineering</x:v>
      </x:c>
      <x:c r="L91" s="111" t="str"/>
      <x:c r="M91" s="111" t="str">
        <x:v>Confirm dependencies and owner, then define the first deliverable.</x:v>
      </x:c>
      <x:c r="N91" s="112"/>
      <x:c r="O91" s="111" t="str"/>
      <x:c r="P91" s="112" t="n">
        <x:v>46250.666666666664</x:v>
      </x:c>
      <x:c r="Q91" s="111" t="str">
        <x:v>Grant/revoke content access based on active payment state and tier.</x:v>
      </x:c>
      <x:c r="R91" s="111" t="str">
        <x:v>Critical premium access control.</x:v>
      </x:c>
      <x:c r="S91" s="111" t="str">
        <x:v>Preserved Master Tracker row 99; legacy status: 📋 Not Started</x:v>
      </x:c>
    </x:row>
    <x:row r="92" ht="46" customHeight="1">
      <x:c r="A92" s="111" t="str">
        <x:v>LEG-MT-100</x:v>
      </x:c>
      <x:c r="B92" s="111" t="str">
        <x:v>P06</x:v>
      </x:c>
      <x:c r="C92" s="111" t="str">
        <x:v>Payments, subscriptions, tipping, and PPV</x:v>
      </x:c>
      <x:c r="D92" s="111" t="str"/>
      <x:c r="E92" s="111" t="str">
        <x:v>Legacy-mapped task</x:v>
      </x:c>
      <x:c r="F92" s="111" t="str">
        <x:v>Payments &amp; entitlements</x:v>
      </x:c>
      <x:c r="G92" s="111" t="str">
        <x:v>Define creator payouts flow</x:v>
      </x:c>
      <x:c r="H92" s="111" t="str">
        <x:v>Not Started</x:v>
      </x:c>
      <x:c r="I92" s="111" t="str">
        <x:v>N/A</x:v>
      </x:c>
      <x:c r="J92" s="111" t="str">
        <x:v>High</x:v>
      </x:c>
      <x:c r="K92" s="111" t="str">
        <x:v>Founder</x:v>
      </x:c>
      <x:c r="L92" s="111" t="str">
        <x:v>Founder + counsel/provider</x:v>
      </x:c>
      <x:c r="M92" s="111" t="str">
        <x:v>Confirm dependencies and owner, then define the first deliverable.</x:v>
      </x:c>
      <x:c r="N92" s="112"/>
      <x:c r="O92" s="111" t="str"/>
      <x:c r="P92" s="112" t="n">
        <x:v>46250.666666666664</x:v>
      </x:c>
      <x:c r="Q92" s="111" t="str">
        <x:v>Payout cadence (weekly/biweekly), ledger logic, minimums, admin handling.</x:v>
      </x:c>
      <x:c r="R92" s="111" t="str">
        <x:v>Needed once monetization is live.</x:v>
      </x:c>
      <x:c r="S92" s="111" t="str">
        <x:v>Preserved Master Tracker row 100; legacy status: 📋 Not Started</x:v>
      </x:c>
    </x:row>
    <x:row r="93" ht="46" customHeight="1">
      <x:c r="A93" s="111"/>
      <x:c r="B93" s="111"/>
      <x:c r="C93" s="111"/>
      <x:c r="D93" s="111" t="str"/>
      <x:c r="E93" s="111"/>
      <x:c r="F93" s="111"/>
      <x:c r="G93" s="111"/>
      <x:c r="H93" s="111"/>
      <x:c r="I93" s="111"/>
      <x:c r="J93" s="111"/>
      <x:c r="K93" s="111"/>
      <x:c r="L93" s="111" t="str"/>
      <x:c r="M93" s="111"/>
      <x:c r="N93" s="112"/>
      <x:c r="O93" s="111"/>
      <x:c r="P93" s="112"/>
      <x:c r="Q93" s="111"/>
      <x:c r="R93" s="111"/>
      <x:c r="S93" s="111"/>
    </x:row>
    <x:row r="94" ht="46" customHeight="1">
      <x:c r="A94" s="111" t="str">
        <x:v>LEG-MT-102</x:v>
      </x:c>
      <x:c r="B94" s="111" t="str">
        <x:v>P06</x:v>
      </x:c>
      <x:c r="C94" s="111" t="str">
        <x:v>Payments, subscriptions, tipping, and PPV</x:v>
      </x:c>
      <x:c r="D94" s="111" t="str"/>
      <x:c r="E94" s="111" t="str">
        <x:v>Legacy-mapped task</x:v>
      </x:c>
      <x:c r="F94" s="111" t="str">
        <x:v>Payments &amp; entitlements</x:v>
      </x:c>
      <x:c r="G94" s="111" t="str">
        <x:v>Define platform commission model</x:v>
      </x:c>
      <x:c r="H94" s="111" t="str">
        <x:v>Not Started</x:v>
      </x:c>
      <x:c r="I94" s="111" t="str">
        <x:v>N/A</x:v>
      </x:c>
      <x:c r="J94" s="111" t="str">
        <x:v>High</x:v>
      </x:c>
      <x:c r="K94" s="111" t="str">
        <x:v>Founder</x:v>
      </x:c>
      <x:c r="L94" s="111" t="str">
        <x:v>Founder + provider response</x:v>
      </x:c>
      <x:c r="M94" s="111" t="str">
        <x:v>Confirm dependencies and owner, then define the first deliverable.</x:v>
      </x:c>
      <x:c r="N94" s="112"/>
      <x:c r="O94" s="111" t="str"/>
      <x:c r="P94" s="112" t="n">
        <x:v>46250.666666666664</x:v>
      </x:c>
      <x:c r="Q94" s="111" t="str">
        <x:v>Fee structure: platform take rate, creator share, member economics. Founding Creator exception rate must be defined.</x:v>
      </x:c>
      <x:c r="R94" s="111" t="str">
        <x:v>Founder decision pending. Model 20/25/30% platform fees against actual processor fees before promising a creator split.</x:v>
      </x:c>
      <x:c r="S94" s="111" t="str">
        <x:v>Preserved Master Tracker row 102; legacy status: 📋 Not Started</x:v>
      </x:c>
    </x:row>
    <x:row r="95" ht="46" customHeight="1">
      <x:c r="A95" s="111" t="str">
        <x:v>LEG-MT-103</x:v>
      </x:c>
      <x:c r="B95" s="111" t="str">
        <x:v>P06</x:v>
      </x:c>
      <x:c r="C95" s="111" t="str">
        <x:v>Payments, subscriptions, tipping, and PPV</x:v>
      </x:c>
      <x:c r="D95" s="111" t="str"/>
      <x:c r="E95" s="111" t="str">
        <x:v>Legacy-mapped task</x:v>
      </x:c>
      <x:c r="F95" s="111" t="str">
        <x:v>Payments &amp; entitlements</x:v>
      </x:c>
      <x:c r="G95" s="111" t="str">
        <x:v>Implement chargeback &amp; dispute workflow</x:v>
      </x:c>
      <x:c r="H95" s="111" t="str">
        <x:v>Not Started</x:v>
      </x:c>
      <x:c r="I95" s="111" t="str">
        <x:v>N/A</x:v>
      </x:c>
      <x:c r="J95" s="111" t="str">
        <x:v>Critical</x:v>
      </x:c>
      <x:c r="K95" s="111" t="str">
        <x:v>Engineering</x:v>
      </x:c>
      <x:c r="L95" s="111" t="str">
        <x:v>Founder + provider response</x:v>
      </x:c>
      <x:c r="M95" s="111" t="str">
        <x:v>Define account-specific dispute rules and trusted events, then implement the workflow with private-operations authorization and audit.</x:v>
      </x:c>
      <x:c r="N95" s="112"/>
      <x:c r="O95" s="111" t="str"/>
      <x:c r="P95" s="112" t="n">
        <x:v>46275.666666666664</x:v>
      </x:c>
      <x:c r="Q95" s="111" t="str">
        <x:v>Track chargebacks from CCBill/Epoch, alert admin, manage dispute responses.</x:v>
      </x:c>
      <x:c r="R95" s="111" t="str">
        <x:v>CCBill review-site preparation is underway. Processor dispute integration and operational handling remain unimplemented.</x:v>
      </x:c>
      <x:c r="S95" s="111" t="str">
        <x:v>Preserved Master Tracker row 103; legacy status: 📋 Not Started</x:v>
      </x:c>
    </x:row>
    <x:row r="96" ht="46" customHeight="1">
      <x:c r="A96" s="111" t="str">
        <x:v>LEG-MT-104</x:v>
      </x:c>
      <x:c r="B96" s="111" t="str">
        <x:v>POST</x:v>
      </x:c>
      <x:c r="C96" s="111" t="str">
        <x:v>Post-MVP</x:v>
      </x:c>
      <x:c r="D96" s="111" t="str"/>
      <x:c r="E96" s="111" t="str">
        <x:v>Legacy-mapped task</x:v>
      </x:c>
      <x:c r="F96" s="111" t="str">
        <x:v>Post-MVP</x:v>
      </x:c>
      <x:c r="G96" s="111" t="str">
        <x:v>Plan crypto payment integration</x:v>
      </x:c>
      <x:c r="H96" s="111" t="str">
        <x:v>Not Started</x:v>
      </x:c>
      <x:c r="I96" s="111" t="str">
        <x:v>N/A</x:v>
      </x:c>
      <x:c r="J96" s="111" t="str">
        <x:v>High</x:v>
      </x:c>
      <x:c r="K96" s="111" t="str">
        <x:v>Engineering</x:v>
      </x:c>
      <x:c r="L96" s="111" t="str"/>
      <x:c r="M96" s="111" t="str">
        <x:v>Confirm dependencies and owner, then define the first deliverable.</x:v>
      </x:c>
      <x:c r="N96" s="112"/>
      <x:c r="O96" s="111" t="str"/>
      <x:c r="P96" s="112" t="n">
        <x:v>46250.666666666664</x:v>
      </x:c>
      <x:c r="Q96" s="111" t="str">
        <x:v>Research USDT/BTC path. Evaluate self-hosted vs third-party (NowPayments, PayRam).</x:v>
      </x:c>
      <x:c r="R96" s="111" t="str">
        <x:v>Deferred; planned as future payment rail.</x:v>
      </x:c>
      <x:c r="S96" s="111" t="str">
        <x:v>Preserved Master Tracker row 104; legacy status: 📋 Not Started</x:v>
      </x:c>
    </x:row>
    <x:row r="97" ht="46" customHeight="1">
      <x:c r="A97" s="111" t="str">
        <x:v>LEG-MT-106</x:v>
      </x:c>
      <x:c r="B97" s="111" t="str">
        <x:v>P11</x:v>
      </x:c>
      <x:c r="C97" s="111" t="str">
        <x:v>Admin and moderation</x:v>
      </x:c>
      <x:c r="D97" s="111" t="str"/>
      <x:c r="E97" s="111" t="str">
        <x:v>Legacy-mapped task</x:v>
      </x:c>
      <x:c r="F97" s="111" t="str">
        <x:v>Private operations &amp; moderation</x:v>
      </x:c>
      <x:c r="G97" s="111" t="str">
        <x:v>Build private operations application</x:v>
      </x:c>
      <x:c r="H97" s="111" t="str">
        <x:v>In Progress</x:v>
      </x:c>
      <x:c r="I97" s="111" t="str">
        <x:v>UI Prototype</x:v>
      </x:c>
      <x:c r="J97" s="111" t="str">
        <x:v>Medium</x:v>
      </x:c>
      <x:c r="K97" s="111" t="str">
        <x:v>Engineering</x:v>
      </x:c>
      <x:c r="L97" s="111" t="str">
        <x:v>Private-operations security gates</x:v>
      </x:c>
      <x:c r="M97" s="111" t="str">
        <x:v>Close the remaining gap: An independently buildable apps/admin shell, public /admin removal, a dormant injected-verifier API seam, and a non-secret readiness packet are merged.</x:v>
      </x:c>
      <x:c r="N97" s="112"/>
      <x:c r="O97" s="111" t="str"/>
      <x:c r="P97" s="112" t="n">
        <x:v>46250.666666666664</x:v>
      </x:c>
      <x:c r="Q97" s="111" t="str">
        <x:v>Deploy a separately hosted private operations app; do not expose /admin in the public Pumdoki web app. Enforce ADMIN permissions in the API and apply separate operational access controls.</x:v>
      </x:c>
      <x:c r="R97" s="111" t="str">
        <x:v>An independently buildable apps/admin shell, public /admin removal, a dormant injected-verifier API seam, and a non-secret readiness packet are merged. No deployed private origin, production verifier, hardware-backed assurance, operator provisioning, origin/CSRF controls, restricted DB grants, or usable review UI exists; G1–G12 are NOT EVALUATED.</x:v>
      </x:c>
      <x:c r="S97" s="111" t="str">
        <x:v>Preserved Master Tracker row 106; legacy status: 🔄 In Progress</x:v>
      </x:c>
    </x:row>
    <x:row r="98" ht="46" customHeight="1">
      <x:c r="A98" s="111" t="str">
        <x:v>LEG-MT-107</x:v>
      </x:c>
      <x:c r="B98" s="111" t="str">
        <x:v>P11</x:v>
      </x:c>
      <x:c r="C98" s="111" t="str">
        <x:v>Admin and moderation</x:v>
      </x:c>
      <x:c r="D98" s="111" t="str"/>
      <x:c r="E98" s="111" t="str">
        <x:v>Legacy-mapped task</x:v>
      </x:c>
      <x:c r="F98" s="111" t="str">
        <x:v>Private operations &amp; moderation</x:v>
      </x:c>
      <x:c r="G98" s="111" t="str">
        <x:v>Build admin overview / operations page</x:v>
      </x:c>
      <x:c r="H98" s="111" t="str">
        <x:v>Not Started</x:v>
      </x:c>
      <x:c r="I98" s="111" t="str">
        <x:v>N/A</x:v>
      </x:c>
      <x:c r="J98" s="111" t="str">
        <x:v>High</x:v>
      </x:c>
      <x:c r="K98" s="111" t="str">
        <x:v>Engineering</x:v>
      </x:c>
      <x:c r="L98" s="111" t="str">
        <x:v>Founder + counsel/provider</x:v>
      </x:c>
      <x:c r="M98" s="111" t="str">
        <x:v>Confirm dependencies and owner, then define the first deliverable.</x:v>
      </x:c>
      <x:c r="N98" s="112"/>
      <x:c r="O98" s="111" t="str"/>
      <x:c r="P98" s="112" t="n">
        <x:v>46250.666666666664</x:v>
      </x:c>
      <x:c r="Q98" s="111" t="str">
        <x:v>Operational snapshot: total users, new signups today, active creators, revenue (gross/net), payout queue, content mod queue count, active flags.</x:v>
      </x:c>
      <x:c r="R98" s="111" t="str">
        <x:v>First page you see when logging into admin. Keeps you informed at a glance.</x:v>
      </x:c>
      <x:c r="S98" s="111" t="str">
        <x:v>Preserved Master Tracker row 107; legacy status: 📋 Not Started</x:v>
      </x:c>
    </x:row>
    <x:row r="99" ht="46" customHeight="1">
      <x:c r="A99" s="111" t="str">
        <x:v>LEG-MT-108</x:v>
      </x:c>
      <x:c r="B99" s="111" t="str">
        <x:v>P11</x:v>
      </x:c>
      <x:c r="C99" s="111" t="str">
        <x:v>Admin and moderation</x:v>
      </x:c>
      <x:c r="D99" s="111" t="str"/>
      <x:c r="E99" s="111" t="str">
        <x:v>Legacy-mapped task</x:v>
      </x:c>
      <x:c r="F99" s="111" t="str">
        <x:v>Private operations &amp; moderation</x:v>
      </x:c>
      <x:c r="G99" s="111" t="str">
        <x:v>Build users &amp; creators admin table</x:v>
      </x:c>
      <x:c r="H99" s="111" t="str">
        <x:v>Not Started</x:v>
      </x:c>
      <x:c r="I99" s="111" t="str">
        <x:v>N/A</x:v>
      </x:c>
      <x:c r="J99" s="111" t="str">
        <x:v>Medium</x:v>
      </x:c>
      <x:c r="K99" s="111" t="str">
        <x:v>Engineering</x:v>
      </x:c>
      <x:c r="L99" s="111" t="str">
        <x:v>Private-operations security gates</x:v>
      </x:c>
      <x:c r="M99" s="111" t="str">
        <x:v>Confirm dependencies and owner, then define the first deliverable.</x:v>
      </x:c>
      <x:c r="N99" s="112"/>
      <x:c r="O99" s="111" t="str"/>
      <x:c r="P99" s="112" t="n">
        <x:v>46250.666666666664</x:v>
      </x:c>
      <x:c r="Q99" s="111" t="str">
        <x:v>Searchable table of all accounts. Filter by role (member/creator/admin). View status, join date, spend, earnings. Actions: warn, suspend, ban, verify.</x:v>
      </x:c>
      <x:c r="R99" s="111" t="str">
        <x:v>Core operational tool. Needed for day-1 operations.</x:v>
      </x:c>
      <x:c r="S99" s="111" t="str">
        <x:v>Preserved Master Tracker row 108; legacy status: 📋 Not Started</x:v>
      </x:c>
    </x:row>
    <x:row r="100" ht="46" customHeight="1">
      <x:c r="A100" s="111" t="str">
        <x:v>LEG-MT-109</x:v>
      </x:c>
      <x:c r="B100" s="111" t="str">
        <x:v>P04</x:v>
      </x:c>
      <x:c r="C100" s="111" t="str">
        <x:v>Legal, trust, and creator onboarding</x:v>
      </x:c>
      <x:c r="D100" s="111" t="str">
        <x:v>P11</x:v>
      </x:c>
      <x:c r="E100" s="111" t="str">
        <x:v>Legacy-mapped task</x:v>
      </x:c>
      <x:c r="F100" s="111" t="str">
        <x:v>Creator onboarding &amp; trust</x:v>
      </x:c>
      <x:c r="G100" s="111" t="str">
        <x:v>Build creator verification &amp; onboarding queue</x:v>
      </x:c>
      <x:c r="H100" s="111" t="str">
        <x:v>In Progress</x:v>
      </x:c>
      <x:c r="I100" s="111" t="str">
        <x:v>Backend Implemented</x:v>
      </x:c>
      <x:c r="J100" s="111" t="str">
        <x:v>Medium</x:v>
      </x:c>
      <x:c r="K100" s="111" t="str">
        <x:v>Engineering</x:v>
      </x:c>
      <x:c r="L100" s="111" t="str"/>
      <x:c r="M100" s="111" t="str">
        <x:v>Close the remaining gap: Application submission/persistence and dormant server-side NEEDS_INFORMATION/REJECTED transitions with successful-transition evidence are merged.</x:v>
      </x:c>
      <x:c r="N100" s="112"/>
      <x:c r="O100" s="111" t="str"/>
      <x:c r="P100" s="112" t="n">
        <x:v>46250.666666666664</x:v>
      </x:c>
      <x:c r="Q100" s="111" t="str">
        <x:v>Review incoming creator applications. View submitted ID documents. Approve or reject. Log decision with reason. Trigger creator onboarding email.</x:v>
      </x:c>
      <x:c r="R100" s="111" t="str">
        <x:v>Application submission/persistence and dormant server-side NEEDS_INFORMATION/REJECTED transitions with successful-transition evidence are merged. No queue/list/detail UI, ID/selfie intake, APPROVED, role promotion, reviewer deployment, notification, or creator publishing exists.</x:v>
      </x:c>
      <x:c r="S100" s="111" t="str">
        <x:v>Preserved Master Tracker row 109; legacy status: 🔄 In Progress</x:v>
      </x:c>
    </x:row>
    <x:row r="101" ht="46" customHeight="1">
      <x:c r="A101" s="111" t="str">
        <x:v>LEG-MT-110</x:v>
      </x:c>
      <x:c r="B101" s="111" t="str">
        <x:v>P11</x:v>
      </x:c>
      <x:c r="C101" s="111" t="str">
        <x:v>Admin and moderation</x:v>
      </x:c>
      <x:c r="D101" s="111" t="str"/>
      <x:c r="E101" s="111" t="str">
        <x:v>Legacy-mapped task</x:v>
      </x:c>
      <x:c r="F101" s="111" t="str">
        <x:v>Private operations &amp; moderation</x:v>
      </x:c>
      <x:c r="G101" s="111" t="str">
        <x:v>Build content moderation queue</x:v>
      </x:c>
      <x:c r="H101" s="111" t="str">
        <x:v>Not Started</x:v>
      </x:c>
      <x:c r="I101" s="111" t="str">
        <x:v>N/A</x:v>
      </x:c>
      <x:c r="J101" s="111" t="str">
        <x:v>Medium</x:v>
      </x:c>
      <x:c r="K101" s="111" t="str">
        <x:v>Engineering</x:v>
      </x:c>
      <x:c r="L101" s="111" t="str">
        <x:v>Private-operations security gates</x:v>
      </x:c>
      <x:c r="M101" s="111" t="str">
        <x:v>Confirm dependencies and owner, then define the first deliverable.</x:v>
      </x:c>
      <x:c r="N101" s="112"/>
      <x:c r="O101" s="111" t="str"/>
      <x:c r="P101" s="112" t="n">
        <x:v>46250.666666666664</x:v>
      </x:c>
      <x:c r="Q101" s="111" t="str">
        <x:v>Queue of all flagged content sorted by severity. Actions: approve, remove, warn creator, escalate. Show content type, creator, flag reason, reporter.</x:v>
      </x:c>
      <x:c r="R101" s="111" t="str">
        <x:v>Especially important for NSFW operations. Will be high-volume once platform grows.</x:v>
      </x:c>
      <x:c r="S101" s="111" t="str">
        <x:v>Preserved Master Tracker row 110; legacy status: 📋 Not Started</x:v>
      </x:c>
    </x:row>
    <x:row r="102" ht="46" customHeight="1">
      <x:c r="A102" s="111" t="str">
        <x:v>LEG-MT-111</x:v>
      </x:c>
      <x:c r="B102" s="111" t="str">
        <x:v>P11</x:v>
      </x:c>
      <x:c r="C102" s="111" t="str">
        <x:v>Admin and moderation</x:v>
      </x:c>
      <x:c r="D102" s="111" t="str"/>
      <x:c r="E102" s="111" t="str">
        <x:v>Legacy-mapped task</x:v>
      </x:c>
      <x:c r="F102" s="111" t="str">
        <x:v>Private operations &amp; moderation</x:v>
      </x:c>
      <x:c r="G102" s="111" t="str">
        <x:v>Build reports handling workflow</x:v>
      </x:c>
      <x:c r="H102" s="111" t="str">
        <x:v>Not Started</x:v>
      </x:c>
      <x:c r="I102" s="111" t="str">
        <x:v>N/A</x:v>
      </x:c>
      <x:c r="J102" s="111" t="str">
        <x:v>Medium</x:v>
      </x:c>
      <x:c r="K102" s="111" t="str">
        <x:v>Engineering</x:v>
      </x:c>
      <x:c r="L102" s="111" t="str">
        <x:v>Private-operations security gates</x:v>
      </x:c>
      <x:c r="M102" s="111" t="str">
        <x:v>Confirm dependencies and owner, then define the first deliverable.</x:v>
      </x:c>
      <x:c r="N102" s="112"/>
      <x:c r="O102" s="111" t="str"/>
      <x:c r="P102" s="112" t="n">
        <x:v>46250.666666666664</x:v>
      </x:c>
      <x:c r="Q102" s="111" t="str">
        <x:v>Route user/content reports into admin triage with severity levels (High / Medium / Low). Show open report count, type, and age.</x:v>
      </x:c>
      <x:c r="R102" s="111" t="str">
        <x:v>Needed for safety and operations.</x:v>
      </x:c>
      <x:c r="S102" s="111" t="str">
        <x:v>Preserved Master Tracker row 111; legacy status: 📋 Not Started</x:v>
      </x:c>
    </x:row>
    <x:row r="103" ht="46" customHeight="1">
      <x:c r="A103" s="111" t="str">
        <x:v>LEG-MT-112</x:v>
      </x:c>
      <x:c r="B103" s="111" t="str">
        <x:v>P11</x:v>
      </x:c>
      <x:c r="C103" s="111" t="str">
        <x:v>Admin and moderation</x:v>
      </x:c>
      <x:c r="D103" s="111" t="str"/>
      <x:c r="E103" s="111" t="str">
        <x:v>Legacy-mapped task</x:v>
      </x:c>
      <x:c r="F103" s="111" t="str">
        <x:v>Private operations &amp; moderation</x:v>
      </x:c>
      <x:c r="G103" s="111" t="str">
        <x:v>Build payments &amp; payouts admin view</x:v>
      </x:c>
      <x:c r="H103" s="111" t="str">
        <x:v>Not Started</x:v>
      </x:c>
      <x:c r="I103" s="111" t="str">
        <x:v>N/A</x:v>
      </x:c>
      <x:c r="J103" s="111" t="str">
        <x:v>High</x:v>
      </x:c>
      <x:c r="K103" s="111" t="str">
        <x:v>Engineering</x:v>
      </x:c>
      <x:c r="L103" s="111" t="str">
        <x:v>Founder + provider response</x:v>
      </x:c>
      <x:c r="M103" s="111" t="str">
        <x:v>Implement trusted transactions/earnings/payout records and private-operations controls before connecting the admin view.</x:v>
      </x:c>
      <x:c r="N103" s="112"/>
      <x:c r="O103" s="111" t="str"/>
      <x:c r="P103" s="112" t="n">
        <x:v>46275.666666666664</x:v>
      </x:c>
      <x:c r="Q103" s="111" t="str">
        <x:v>View all transactions, subscription events, payout queue. Manually trigger or block payouts. View CCBill/Epoch transaction IDs. Filter by date, creator, status.</x:v>
      </x:c>
      <x:c r="R103" s="111" t="str">
        <x:v>CCBill review-site preparation is underway. Payment/payout backend and this operations view remain unimplemented.</x:v>
      </x:c>
      <x:c r="S103" s="111" t="str">
        <x:v>Preserved Master Tracker row 112; legacy status: 📋 Not Started</x:v>
      </x:c>
    </x:row>
    <x:row r="104" ht="46" customHeight="1">
      <x:c r="A104" s="111" t="str">
        <x:v>LEG-MT-113</x:v>
      </x:c>
      <x:c r="B104" s="111" t="str">
        <x:v>P11</x:v>
      </x:c>
      <x:c r="C104" s="111" t="str">
        <x:v>Admin and moderation</x:v>
      </x:c>
      <x:c r="D104" s="111" t="str"/>
      <x:c r="E104" s="111" t="str">
        <x:v>Legacy-mapped task</x:v>
      </x:c>
      <x:c r="F104" s="111" t="str">
        <x:v>Private operations &amp; moderation</x:v>
      </x:c>
      <x:c r="G104" s="111" t="str">
        <x:v>Build chargeback alert dashboard</x:v>
      </x:c>
      <x:c r="H104" s="111" t="str">
        <x:v>Not Started</x:v>
      </x:c>
      <x:c r="I104" s="111" t="str">
        <x:v>N/A</x:v>
      </x:c>
      <x:c r="J104" s="111" t="str">
        <x:v>Medium</x:v>
      </x:c>
      <x:c r="K104" s="111" t="str">
        <x:v>Engineering</x:v>
      </x:c>
      <x:c r="L104" s="111" t="str">
        <x:v>Founder + provider response</x:v>
      </x:c>
      <x:c r="M104" s="111" t="str">
        <x:v>Confirm processor dispute events and account-specific thresholds before implementing alerts and audited responses.</x:v>
      </x:c>
      <x:c r="N104" s="112"/>
      <x:c r="O104" s="111" t="str"/>
      <x:c r="P104" s="112" t="n">
        <x:v>46275.666666666664</x:v>
      </x:c>
      <x:c r="Q104" s="111" t="str">
        <x:v>View verified processor chargeback events, calculate rates, apply confirmed account-specific alert thresholds and log authorized dispute responses.</x:v>
      </x:c>
      <x:c r="R104" s="111" t="str">
        <x:v>CCBill review-site preparation is underway. No chargeback webhook integration or operational dashboard is implemented.</x:v>
      </x:c>
      <x:c r="S104" s="111" t="str">
        <x:v>Preserved Master Tracker row 113; legacy status: 📋 Not Started</x:v>
      </x:c>
    </x:row>
    <x:row r="105" ht="46" customHeight="1">
      <x:c r="A105" s="111"/>
      <x:c r="B105" s="111"/>
      <x:c r="C105" s="111"/>
      <x:c r="D105" s="111" t="str"/>
      <x:c r="E105" s="111"/>
      <x:c r="F105" s="111"/>
      <x:c r="G105" s="111"/>
      <x:c r="H105" s="111"/>
      <x:c r="I105" s="111"/>
      <x:c r="J105" s="111"/>
      <x:c r="K105" s="111"/>
      <x:c r="L105" s="111"/>
      <x:c r="M105" s="111"/>
      <x:c r="N105" s="112"/>
      <x:c r="O105" s="111"/>
      <x:c r="P105" s="112"/>
      <x:c r="Q105" s="111"/>
      <x:c r="R105" s="111"/>
      <x:c r="S105" s="111"/>
    </x:row>
    <x:row r="106" ht="46" customHeight="1">
      <x:c r="A106" s="111" t="str">
        <x:v>LEG-MT-115</x:v>
      </x:c>
      <x:c r="B106" s="111" t="str">
        <x:v>P11</x:v>
      </x:c>
      <x:c r="C106" s="111" t="str">
        <x:v>Admin and moderation</x:v>
      </x:c>
      <x:c r="D106" s="111" t="str"/>
      <x:c r="E106" s="111" t="str">
        <x:v>Legacy-mapped task</x:v>
      </x:c>
      <x:c r="F106" s="111" t="str">
        <x:v>Private operations &amp; moderation</x:v>
      </x:c>
      <x:c r="G106" s="111" t="str">
        <x:v>Build Founding Badge admin management</x:v>
      </x:c>
      <x:c r="H106" s="111" t="str">
        <x:v>Not Started</x:v>
      </x:c>
      <x:c r="I106" s="111" t="str">
        <x:v>N/A</x:v>
      </x:c>
      <x:c r="J106" s="111" t="str">
        <x:v>High</x:v>
      </x:c>
      <x:c r="K106" s="111" t="str">
        <x:v>Engineering</x:v>
      </x:c>
      <x:c r="L106" s="111" t="str">
        <x:v>Private-operations security gates</x:v>
      </x:c>
      <x:c r="M106" s="111" t="str">
        <x:v>Confirm dependencies and owner, then define the first deliverable.</x:v>
      </x:c>
      <x:c r="N106" s="112"/>
      <x:c r="O106" s="111" t="str"/>
      <x:c r="P106" s="112" t="n">
        <x:v>46250.666666666664</x:v>
      </x:c>
      <x:c r="Q106" s="111" t="str">
        <x:v>View list of Founding Creators and Founding Members. Track how many slots remain. Assign or revoke badge manually if needed. Show badge count against cap.</x:v>
      </x:c>
      <x:c r="R106" s="111" t="str">
        <x:v>Required to manage the founder badge program. Badge count cap enforced here.</x:v>
      </x:c>
      <x:c r="S106" s="111" t="str">
        <x:v>Preserved Master Tracker row 115; legacy status: 📋 Not Started</x:v>
      </x:c>
    </x:row>
    <x:row r="107" ht="46" customHeight="1">
      <x:c r="A107" s="111" t="str">
        <x:v>LEG-MT-116</x:v>
      </x:c>
      <x:c r="B107" s="111" t="str">
        <x:v>P11</x:v>
      </x:c>
      <x:c r="C107" s="111" t="str">
        <x:v>Admin and moderation</x:v>
      </x:c>
      <x:c r="D107" s="111" t="str"/>
      <x:c r="E107" s="111" t="str">
        <x:v>Legacy-mapped task</x:v>
      </x:c>
      <x:c r="F107" s="111" t="str">
        <x:v>Private operations &amp; moderation</x:v>
      </x:c>
      <x:c r="G107" s="111" t="str">
        <x:v>Build admin platform settings panel</x:v>
      </x:c>
      <x:c r="H107" s="111" t="str">
        <x:v>Not Started</x:v>
      </x:c>
      <x:c r="I107" s="111" t="str">
        <x:v>N/A</x:v>
      </x:c>
      <x:c r="J107" s="111" t="str">
        <x:v>High</x:v>
      </x:c>
      <x:c r="K107" s="111" t="str">
        <x:v>Engineering</x:v>
      </x:c>
      <x:c r="L107" s="111" t="str">
        <x:v>Founder + counsel/provider</x:v>
      </x:c>
      <x:c r="M107" s="111" t="str">
        <x:v>Confirm dependencies and owner, then define the first deliverable.</x:v>
      </x:c>
      <x:c r="N107" s="112"/>
      <x:c r="O107" s="111" t="str"/>
      <x:c r="P107" s="112" t="n">
        <x:v>46250.666666666664</x:v>
      </x:c>
      <x:c r="Q107" s="111" t="str">
        <x:v>Configure: platform commission rate, Founding Creator commission rate, NSFW content flags, feature flags (enable/disable features), payout minimums, maintenance mode.</x:v>
      </x:c>
      <x:c r="R107" s="111" t="str">
        <x:v>Gives you control over live platform behavior without code deploys.</x:v>
      </x:c>
      <x:c r="S107" s="111" t="str">
        <x:v>Preserved Master Tracker row 116; legacy status: 📋 Not Started</x:v>
      </x:c>
    </x:row>
    <x:row r="108" ht="46" customHeight="1">
      <x:c r="A108" s="111" t="str">
        <x:v>LEG-MT-117</x:v>
      </x:c>
      <x:c r="B108" s="111" t="str">
        <x:v>P11</x:v>
      </x:c>
      <x:c r="C108" s="111" t="str">
        <x:v>Admin and moderation</x:v>
      </x:c>
      <x:c r="D108" s="111" t="str">
        <x:v>P04</x:v>
      </x:c>
      <x:c r="E108" s="111" t="str">
        <x:v>Legacy-mapped task</x:v>
      </x:c>
      <x:c r="F108" s="111" t="str">
        <x:v>Private operations &amp; moderation</x:v>
      </x:c>
      <x:c r="G108" s="111" t="str">
        <x:v>Implement 2257 compliance records admin</x:v>
      </x:c>
      <x:c r="H108" s="111" t="str">
        <x:v>Not Started</x:v>
      </x:c>
      <x:c r="I108" s="111" t="str">
        <x:v>N/A</x:v>
      </x:c>
      <x:c r="J108" s="111" t="str">
        <x:v>Critical</x:v>
      </x:c>
      <x:c r="K108" s="111" t="str">
        <x:v>Engineering</x:v>
      </x:c>
      <x:c r="L108" s="111" t="str">
        <x:v>Private-operations security gates</x:v>
      </x:c>
      <x:c r="M108" s="111" t="str">
        <x:v>Confirm dependencies and owner, then define the first deliverable.</x:v>
      </x:c>
      <x:c r="N108" s="112"/>
      <x:c r="O108" s="111" t="str"/>
      <x:c r="P108" s="112" t="n">
        <x:v>46250.666666666664</x:v>
      </x:c>
      <x:c r="Q108" s="111" t="str">
        <x:v>View and manage age verification records submitted by creators. Link each creator to their ID verification doc. Must be accessible on demand for compliance audits.</x:v>
      </x:c>
      <x:c r="R108" s="111" t="str">
        <x:v>Federal requirement. Must be in place before any adult content goes live.</x:v>
      </x:c>
      <x:c r="S108" s="111" t="str">
        <x:v>Preserved Master Tracker row 117; legacy status: 📋 Not Started</x:v>
      </x:c>
    </x:row>
    <x:row r="109" ht="46" customHeight="1">
      <x:c r="A109" s="111" t="str">
        <x:v>LEG-MT-118</x:v>
      </x:c>
      <x:c r="B109" s="111" t="str">
        <x:v>P11</x:v>
      </x:c>
      <x:c r="C109" s="111" t="str">
        <x:v>Admin and moderation</x:v>
      </x:c>
      <x:c r="D109" s="111" t="str"/>
      <x:c r="E109" s="111" t="str">
        <x:v>Legacy-mapped task</x:v>
      </x:c>
      <x:c r="F109" s="111" t="str">
        <x:v>Private operations &amp; moderation</x:v>
      </x:c>
      <x:c r="G109" s="111" t="str">
        <x:v>Implement audit log</x:v>
      </x:c>
      <x:c r="H109" s="111" t="str">
        <x:v>Not Started</x:v>
      </x:c>
      <x:c r="I109" s="111" t="str">
        <x:v>N/A</x:v>
      </x:c>
      <x:c r="J109" s="111" t="str">
        <x:v>Medium</x:v>
      </x:c>
      <x:c r="K109" s="111" t="str">
        <x:v>Engineering</x:v>
      </x:c>
      <x:c r="L109" s="111" t="str">
        <x:v>Private-operations security gates</x:v>
      </x:c>
      <x:c r="M109" s="111" t="str">
        <x:v>Confirm dependencies and owner, then define the first deliverable.</x:v>
      </x:c>
      <x:c r="N109" s="112"/>
      <x:c r="O109" s="111" t="str"/>
      <x:c r="P109" s="112" t="n">
        <x:v>46250.666666666664</x:v>
      </x:c>
      <x:c r="Q109" s="111" t="str">
        <x:v>Track all admin actions with timestamp, admin user, action type, and affected entity. Immutable log — no deleting entries.</x:v>
      </x:c>
      <x:c r="R109" s="111" t="str">
        <x:v>The merged creator-review event records successful non-approval transitions at application level, but it is not a complete immutable operations audit. The global audit log, restricted audit destination, retention, and operational evidence controls remain unimplemented.</x:v>
      </x:c>
      <x:c r="S109" s="111" t="str">
        <x:v>Preserved Master Tracker row 118; legacy status: 📋 Not Started</x:v>
      </x:c>
    </x:row>
    <x:row r="110" ht="46" customHeight="1">
      <x:c r="A110" s="111" t="str">
        <x:v>LEG-MT-120</x:v>
      </x:c>
      <x:c r="B110" s="111" t="str">
        <x:v>P14</x:v>
      </x:c>
      <x:c r="C110" s="111" t="str">
        <x:v>QA, security, private beta, and launch</x:v>
      </x:c>
      <x:c r="D110" s="111" t="str"/>
      <x:c r="E110" s="111" t="str">
        <x:v>Legacy-mapped task</x:v>
      </x:c>
      <x:c r="F110" s="111" t="str">
        <x:v>Quality, beta &amp; launch readiness</x:v>
      </x:c>
      <x:c r="G110" s="111" t="str">
        <x:v>Define analytics event tracking</x:v>
      </x:c>
      <x:c r="H110" s="111" t="str">
        <x:v>Not Started</x:v>
      </x:c>
      <x:c r="I110" s="111" t="str">
        <x:v>N/A</x:v>
      </x:c>
      <x:c r="J110" s="111" t="str">
        <x:v>High</x:v>
      </x:c>
      <x:c r="K110" s="111" t="str">
        <x:v>Engineering</x:v>
      </x:c>
      <x:c r="L110" s="111" t="str"/>
      <x:c r="M110" s="111" t="str">
        <x:v>Confirm dependencies and owner, then define the first deliverable.</x:v>
      </x:c>
      <x:c r="N110" s="112"/>
      <x:c r="O110" s="111" t="str"/>
      <x:c r="P110" s="112" t="n">
        <x:v>46250.666666666664</x:v>
      </x:c>
      <x:c r="Q110" s="111" t="str">
        <x:v>Track signups, subscriptions, content views, conversions, churn signals.</x:v>
      </x:c>
      <x:c r="R110" s="111" t="str">
        <x:v>Needed before beta/public launch.</x:v>
      </x:c>
      <x:c r="S110" s="111" t="str">
        <x:v>Preserved Master Tracker row 120; legacy status: 📋 Not Started</x:v>
      </x:c>
    </x:row>
    <x:row r="111" ht="46" customHeight="1">
      <x:c r="A111" s="111" t="str">
        <x:v>LEG-MT-121</x:v>
      </x:c>
      <x:c r="B111" s="111" t="str">
        <x:v>P11</x:v>
      </x:c>
      <x:c r="C111" s="111" t="str">
        <x:v>Admin and moderation</x:v>
      </x:c>
      <x:c r="D111" s="111" t="str"/>
      <x:c r="E111" s="111" t="str">
        <x:v>Legacy-mapped task</x:v>
      </x:c>
      <x:c r="F111" s="111" t="str">
        <x:v>Private operations &amp; moderation</x:v>
      </x:c>
      <x:c r="G111" s="111" t="str">
        <x:v>Build launch KPI dashboard</x:v>
      </x:c>
      <x:c r="H111" s="111" t="str">
        <x:v>Not Started</x:v>
      </x:c>
      <x:c r="I111" s="111" t="str">
        <x:v>N/A</x:v>
      </x:c>
      <x:c r="J111" s="111" t="str">
        <x:v>Medium</x:v>
      </x:c>
      <x:c r="K111" s="111" t="str">
        <x:v>Engineering</x:v>
      </x:c>
      <x:c r="L111" s="111" t="str">
        <x:v>Private-operations security gates</x:v>
      </x:c>
      <x:c r="M111" s="111" t="str">
        <x:v>Confirm dependencies and owner, then define the first deliverable.</x:v>
      </x:c>
      <x:c r="N111" s="112"/>
      <x:c r="O111" s="111" t="str"/>
      <x:c r="P111" s="112" t="n">
        <x:v>46250.666666666664</x:v>
      </x:c>
      <x:c r="Q111" s="111" t="str">
        <x:v>Lightweight internal reporting view for admin.</x:v>
      </x:c>
      <x:c r="R111" s="111" t="str">
        <x:v>Needed to monitor launch health.</x:v>
      </x:c>
      <x:c r="S111" s="111" t="str">
        <x:v>Preserved Master Tracker row 121; legacy status: 📋 Not Started</x:v>
      </x:c>
    </x:row>
    <x:row r="112" ht="46" customHeight="1">
      <x:c r="A112" s="111" t="str">
        <x:v>LEG-MT-122</x:v>
      </x:c>
      <x:c r="B112" s="111" t="str">
        <x:v>P14</x:v>
      </x:c>
      <x:c r="C112" s="111" t="str">
        <x:v>QA, security, private beta, and launch</x:v>
      </x:c>
      <x:c r="D112" s="111" t="str"/>
      <x:c r="E112" s="111" t="str">
        <x:v>Legacy-mapped task</x:v>
      </x:c>
      <x:c r="F112" s="111" t="str">
        <x:v>Quality, beta &amp; launch readiness</x:v>
      </x:c>
      <x:c r="G112" s="111" t="str">
        <x:v>Set up support / contact workflow</x:v>
      </x:c>
      <x:c r="H112" s="111" t="str">
        <x:v>Not Started</x:v>
      </x:c>
      <x:c r="I112" s="111" t="str">
        <x:v>N/A</x:v>
      </x:c>
      <x:c r="J112" s="111" t="str">
        <x:v>Medium</x:v>
      </x:c>
      <x:c r="K112" s="111" t="str">
        <x:v>Engineering</x:v>
      </x:c>
      <x:c r="L112" s="111" t="str"/>
      <x:c r="M112" s="111" t="str">
        <x:v>Confirm dependencies and owner, then define the first deliverable.</x:v>
      </x:c>
      <x:c r="N112" s="112"/>
      <x:c r="O112" s="111" t="str"/>
      <x:c r="P112" s="112" t="n">
        <x:v>46250.666666666664</x:v>
      </x:c>
      <x:c r="Q112" s="111" t="str">
        <x:v>Route issues to a manageable inbox (email-based initially).</x:v>
      </x:c>
      <x:c r="R112" s="111" t="str">
        <x:v>Needed for operational readiness.</x:v>
      </x:c>
      <x:c r="S112" s="111" t="str">
        <x:v>Preserved Master Tracker row 122; legacy status: 📋 Not Started</x:v>
      </x:c>
    </x:row>
    <x:row r="113" ht="46" customHeight="1">
      <x:c r="A113" s="111" t="str">
        <x:v>LEG-MT-123</x:v>
      </x:c>
      <x:c r="B113" s="111" t="str">
        <x:v>P14</x:v>
      </x:c>
      <x:c r="C113" s="111" t="str">
        <x:v>QA, security, private beta, and launch</x:v>
      </x:c>
      <x:c r="D113" s="111" t="str"/>
      <x:c r="E113" s="111" t="str">
        <x:v>Legacy-mapped task</x:v>
      </x:c>
      <x:c r="F113" s="111" t="str">
        <x:v>Quality, beta &amp; launch readiness</x:v>
      </x:c>
      <x:c r="G113" s="111" t="str">
        <x:v>Create FAQ / help center content</x:v>
      </x:c>
      <x:c r="H113" s="111" t="str">
        <x:v>Not Started</x:v>
      </x:c>
      <x:c r="I113" s="111" t="str">
        <x:v>N/A</x:v>
      </x:c>
      <x:c r="J113" s="111" t="str">
        <x:v>Medium</x:v>
      </x:c>
      <x:c r="K113" s="111" t="str">
        <x:v>Engineering</x:v>
      </x:c>
      <x:c r="L113" s="111" t="str"/>
      <x:c r="M113" s="111" t="str">
        <x:v>Confirm dependencies and owner, then define the first deliverable.</x:v>
      </x:c>
      <x:c r="N113" s="112"/>
      <x:c r="O113" s="111" t="str"/>
      <x:c r="P113" s="112" t="n">
        <x:v>46250.666666666664</x:v>
      </x:c>
      <x:c r="Q113" s="111" t="str">
        <x:v>Common setup, billing, and policy answers.</x:v>
      </x:c>
      <x:c r="R113" s="111" t="str">
        <x:v>Useful before public launch.</x:v>
      </x:c>
      <x:c r="S113" s="111" t="str">
        <x:v>Preserved Master Tracker row 123; legacy status: 📋 Not Started</x:v>
      </x:c>
    </x:row>
    <x:row r="114" ht="46" customHeight="1">
      <x:c r="A114" s="111" t="str">
        <x:v>LEG-MT-124</x:v>
      </x:c>
      <x:c r="B114" s="111" t="str">
        <x:v>P09</x:v>
      </x:c>
      <x:c r="C114" s="111" t="str">
        <x:v>Real-time messaging and notifications</x:v>
      </x:c>
      <x:c r="D114" s="111" t="str">
        <x:v>P03, P04, P06</x:v>
      </x:c>
      <x:c r="E114" s="111" t="str">
        <x:v>Legacy-mapped task</x:v>
      </x:c>
      <x:c r="F114" s="111" t="str">
        <x:v>Real-time messaging and notifications</x:v>
      </x:c>
      <x:c r="G114" s="111" t="str">
        <x:v>Implement notifications / email system</x:v>
      </x:c>
      <x:c r="H114" s="111" t="str">
        <x:v>In Progress</x:v>
      </x:c>
      <x:c r="I114" s="111" t="str">
        <x:v>Decision Locked</x:v>
      </x:c>
      <x:c r="J114" s="111" t="str">
        <x:v>Medium</x:v>
      </x:c>
      <x:c r="K114" s="111" t="str">
        <x:v>Engineering</x:v>
      </x:c>
      <x:c r="L114" s="111" t="str"/>
      <x:c r="M114" s="111" t="str">
        <x:v>Close the remaining gap: Provider-neutral console/SMTP delivery, local Mailpit, and verification/password-reset messages are implemented.</x:v>
      </x:c>
      <x:c r="N114" s="112"/>
      <x:c r="O114" s="111" t="str"/>
      <x:c r="P114" s="112" t="n">
        <x:v>46250.666666666664</x:v>
      </x:c>
      <x:c r="Q114" s="111" t="str">
        <x:v>Transactional emails (welcome, billing, reset) and platform notices via SES or Resend/Postmark.</x:v>
      </x:c>
      <x:c r="R114" s="111" t="str">
        <x:v>Provider-neutral console/SMTP delivery, local Mailpit, and verification/password-reset messages are implemented. Production provider selection, adult-business fit, deliverability/authentication, billing/moderation/booking mail, and platform notifications remain open.</x:v>
      </x:c>
      <x:c r="S114" s="111" t="str">
        <x:v>Preserved Master Tracker row 124; legacy status: 🔄 In Progress</x:v>
      </x:c>
    </x:row>
    <x:row r="115" ht="46" customHeight="1">
      <x:c r="A115" s="111" t="str">
        <x:v>LEG-MT-126</x:v>
      </x:c>
      <x:c r="B115" s="111" t="str">
        <x:v>P14</x:v>
      </x:c>
      <x:c r="C115" s="111" t="str">
        <x:v>QA, security, private beta, and launch</x:v>
      </x:c>
      <x:c r="D115" s="111" t="str"/>
      <x:c r="E115" s="111" t="str">
        <x:v>Legacy-mapped task</x:v>
      </x:c>
      <x:c r="F115" s="111" t="str">
        <x:v>Quality, beta &amp; launch readiness</x:v>
      </x:c>
      <x:c r="G115" s="111" t="str">
        <x:v>Recruit initial creators</x:v>
      </x:c>
      <x:c r="H115" s="111" t="str">
        <x:v>Not Started</x:v>
      </x:c>
      <x:c r="I115" s="111" t="str">
        <x:v>N/A</x:v>
      </x:c>
      <x:c r="J115" s="111" t="str">
        <x:v>Medium</x:v>
      </x:c>
      <x:c r="K115" s="111" t="str">
        <x:v>Founder</x:v>
      </x:c>
      <x:c r="L115" s="111" t="str"/>
      <x:c r="M115" s="111" t="str">
        <x:v>Confirm dependencies and owner, then define the first deliverable.</x:v>
      </x:c>
      <x:c r="N115" s="112"/>
      <x:c r="O115" s="111" t="str"/>
      <x:c r="P115" s="112" t="n">
        <x:v>46250.666666666664</x:v>
      </x:c>
      <x:c r="Q115" s="111" t="str">
        <x:v>Secure first launch or beta creators.</x:v>
      </x:c>
      <x:c r="R115" s="111" t="str">
        <x:v>Needed for a credible launch marketplace.</x:v>
      </x:c>
      <x:c r="S115" s="111" t="str">
        <x:v>Preserved Master Tracker row 126; legacy status: 📋 Not Started</x:v>
      </x:c>
    </x:row>
    <x:row r="116" ht="46" customHeight="1">
      <x:c r="A116" s="111" t="str">
        <x:v>LEG-MT-127</x:v>
      </x:c>
      <x:c r="B116" s="111" t="str">
        <x:v>P14</x:v>
      </x:c>
      <x:c r="C116" s="111" t="str">
        <x:v>QA, security, private beta, and launch</x:v>
      </x:c>
      <x:c r="D116" s="111" t="str">
        <x:v>P04</x:v>
      </x:c>
      <x:c r="E116" s="111" t="str">
        <x:v>Legacy-mapped task</x:v>
      </x:c>
      <x:c r="F116" s="111" t="str">
        <x:v>Quality, beta &amp; launch readiness</x:v>
      </x:c>
      <x:c r="G116" s="111" t="str">
        <x:v>Create creator onboarding docs</x:v>
      </x:c>
      <x:c r="H116" s="111" t="str">
        <x:v>Not Started</x:v>
      </x:c>
      <x:c r="I116" s="111" t="str">
        <x:v>N/A</x:v>
      </x:c>
      <x:c r="J116" s="111" t="str">
        <x:v>Medium</x:v>
      </x:c>
      <x:c r="K116" s="111" t="str">
        <x:v>Founder</x:v>
      </x:c>
      <x:c r="L116" s="111" t="str"/>
      <x:c r="M116" s="111" t="str">
        <x:v>Confirm dependencies and owner, then define the first deliverable.</x:v>
      </x:c>
      <x:c r="N116" s="112"/>
      <x:c r="O116" s="111" t="str"/>
      <x:c r="P116" s="112" t="n">
        <x:v>46250.666666666664</x:v>
      </x:c>
      <x:c r="Q116" s="111" t="str">
        <x:v>How-to for setup, posting, pricing, tier themes, and policy.</x:v>
      </x:c>
      <x:c r="R116" s="111" t="str">
        <x:v>Helpful for beta and early launch.</x:v>
      </x:c>
      <x:c r="S116" s="111" t="str">
        <x:v>Preserved Master Tracker row 127; legacy status: 📋 Not Started</x:v>
      </x:c>
    </x:row>
    <x:row r="117" ht="46" customHeight="1">
      <x:c r="A117" s="111" t="str">
        <x:v>LEG-MT-128</x:v>
      </x:c>
      <x:c r="B117" s="111" t="str">
        <x:v>P14</x:v>
      </x:c>
      <x:c r="C117" s="111" t="str">
        <x:v>QA, security, private beta, and launch</x:v>
      </x:c>
      <x:c r="D117" s="111" t="str"/>
      <x:c r="E117" s="111" t="str">
        <x:v>Legacy-mapped task</x:v>
      </x:c>
      <x:c r="F117" s="111" t="str">
        <x:v>Quality, beta &amp; launch readiness</x:v>
      </x:c>
      <x:c r="G117" s="111" t="str">
        <x:v>Define beta member invite list</x:v>
      </x:c>
      <x:c r="H117" s="111" t="str">
        <x:v>Not Started</x:v>
      </x:c>
      <x:c r="I117" s="111" t="str">
        <x:v>N/A</x:v>
      </x:c>
      <x:c r="J117" s="111" t="str">
        <x:v>Medium</x:v>
      </x:c>
      <x:c r="K117" s="111" t="str">
        <x:v>Founder</x:v>
      </x:c>
      <x:c r="L117" s="111" t="str"/>
      <x:c r="M117" s="111" t="str">
        <x:v>Confirm dependencies and owner, then define the first deliverable.</x:v>
      </x:c>
      <x:c r="N117" s="112"/>
      <x:c r="O117" s="111" t="str"/>
      <x:c r="P117" s="112" t="n">
        <x:v>46250.666666666664</x:v>
      </x:c>
      <x:c r="Q117" s="111" t="str">
        <x:v>Choose initial users to test flows.</x:v>
      </x:c>
      <x:c r="R117" s="111" t="str">
        <x:v>Needed for private beta.</x:v>
      </x:c>
      <x:c r="S117" s="111" t="str">
        <x:v>Preserved Master Tracker row 128; legacy status: 📋 Not Started</x:v>
      </x:c>
    </x:row>
    <x:row r="118" ht="46" customHeight="1">
      <x:c r="A118" s="111" t="str">
        <x:v>LEG-MT-129</x:v>
      </x:c>
      <x:c r="B118" s="111" t="str">
        <x:v>P14</x:v>
      </x:c>
      <x:c r="C118" s="111" t="str">
        <x:v>QA, security, private beta, and launch</x:v>
      </x:c>
      <x:c r="D118" s="111" t="str"/>
      <x:c r="E118" s="111" t="str">
        <x:v>Legacy-mapped task</x:v>
      </x:c>
      <x:c r="F118" s="111" t="str">
        <x:v>Quality, beta &amp; launch readiness</x:v>
      </x:c>
      <x:c r="G118" s="111" t="str">
        <x:v>Build waitlist / lead capture</x:v>
      </x:c>
      <x:c r="H118" s="111" t="str">
        <x:v>Not Started</x:v>
      </x:c>
      <x:c r="I118" s="111" t="str">
        <x:v>N/A</x:v>
      </x:c>
      <x:c r="J118" s="111" t="str">
        <x:v>Medium</x:v>
      </x:c>
      <x:c r="K118" s="111" t="str">
        <x:v>Engineering</x:v>
      </x:c>
      <x:c r="L118" s="111" t="str"/>
      <x:c r="M118" s="111" t="str">
        <x:v>Confirm dependencies and owner, then define the first deliverable.</x:v>
      </x:c>
      <x:c r="N118" s="112"/>
      <x:c r="O118" s="111" t="str"/>
      <x:c r="P118" s="112" t="n">
        <x:v>46250.666666666664</x:v>
      </x:c>
      <x:c r="Q118" s="111" t="str">
        <x:v>Collect early interest before public release.</x:v>
      </x:c>
      <x:c r="R118" s="111" t="str">
        <x:v>Useful for launch momentum.</x:v>
      </x:c>
      <x:c r="S118" s="111" t="str">
        <x:v>Preserved Master Tracker row 129; legacy status: 📋 Not Started</x:v>
      </x:c>
    </x:row>
    <x:row r="119" ht="46" customHeight="1">
      <x:c r="A119" s="111" t="str">
        <x:v>LEG-MT-130</x:v>
      </x:c>
      <x:c r="B119" s="111" t="str">
        <x:v>P14</x:v>
      </x:c>
      <x:c r="C119" s="111" t="str">
        <x:v>QA, security, private beta, and launch</x:v>
      </x:c>
      <x:c r="D119" s="111" t="str"/>
      <x:c r="E119" s="111" t="str">
        <x:v>Legacy-mapped task</x:v>
      </x:c>
      <x:c r="F119" s="111" t="str">
        <x:v>Quality, beta &amp; launch readiness</x:v>
      </x:c>
      <x:c r="G119" s="111" t="str">
        <x:v>Create social launch content plan</x:v>
      </x:c>
      <x:c r="H119" s="111" t="str">
        <x:v>Not Started</x:v>
      </x:c>
      <x:c r="I119" s="111" t="str">
        <x:v>N/A</x:v>
      </x:c>
      <x:c r="J119" s="111" t="str">
        <x:v>High</x:v>
      </x:c>
      <x:c r="K119" s="111" t="str">
        <x:v>Founder</x:v>
      </x:c>
      <x:c r="L119" s="111" t="str"/>
      <x:c r="M119" s="111" t="str">
        <x:v>Confirm dependencies and owner, then define the first deliverable.</x:v>
      </x:c>
      <x:c r="N119" s="112"/>
      <x:c r="O119" s="111" t="str"/>
      <x:c r="P119" s="112" t="n">
        <x:v>46250.666666666664</x:v>
      </x:c>
      <x:c r="Q119" s="111" t="str">
        <x:v>Posts, teasers, launch announcements.</x:v>
      </x:c>
      <x:c r="R119" s="111" t="str">
        <x:v>Needed before public launch.</x:v>
      </x:c>
      <x:c r="S119" s="111" t="str">
        <x:v>Preserved Master Tracker row 130; legacy status: 📋 Not Started</x:v>
      </x:c>
    </x:row>
    <x:row r="120" ht="46" customHeight="1">
      <x:c r="A120" s="111" t="str">
        <x:v>LEG-MT-131</x:v>
      </x:c>
      <x:c r="B120" s="111" t="str">
        <x:v>P14</x:v>
      </x:c>
      <x:c r="C120" s="111" t="str">
        <x:v>QA, security, private beta, and launch</x:v>
      </x:c>
      <x:c r="D120" s="111" t="str"/>
      <x:c r="E120" s="111" t="str">
        <x:v>Legacy-mapped task</x:v>
      </x:c>
      <x:c r="F120" s="111" t="str">
        <x:v>Quality, beta &amp; launch readiness</x:v>
      </x:c>
      <x:c r="G120" s="111" t="str">
        <x:v>Define referral / affiliate plan</x:v>
      </x:c>
      <x:c r="H120" s="111" t="str">
        <x:v>Not Started</x:v>
      </x:c>
      <x:c r="I120" s="111" t="str">
        <x:v>N/A</x:v>
      </x:c>
      <x:c r="J120" s="111" t="str">
        <x:v>Medium</x:v>
      </x:c>
      <x:c r="K120" s="111" t="str">
        <x:v>Founder</x:v>
      </x:c>
      <x:c r="L120" s="111" t="str"/>
      <x:c r="M120" s="111" t="str">
        <x:v>Confirm dependencies and owner, then define the first deliverable.</x:v>
      </x:c>
      <x:c r="N120" s="112"/>
      <x:c r="O120" s="111" t="str"/>
      <x:c r="P120" s="112" t="n">
        <x:v>46250.666666666664</x:v>
      </x:c>
      <x:c r="Q120" s="111" t="str">
        <x:v>Lightweight growth loop for early users.</x:v>
      </x:c>
      <x:c r="R120" s="111" t="str">
        <x:v>Can be simple but useful.</x:v>
      </x:c>
      <x:c r="S120" s="111" t="str">
        <x:v>Preserved Master Tracker row 131; legacy status: 📋 Not Started</x:v>
      </x:c>
    </x:row>
    <x:row r="121" ht="46" customHeight="1">
      <x:c r="A121" s="111" t="str">
        <x:v>LEG-MT-132</x:v>
      </x:c>
      <x:c r="B121" s="111" t="str">
        <x:v>P14</x:v>
      </x:c>
      <x:c r="C121" s="111" t="str">
        <x:v>QA, security, private beta, and launch</x:v>
      </x:c>
      <x:c r="D121" s="111" t="str"/>
      <x:c r="E121" s="111" t="str">
        <x:v>Legacy-mapped task</x:v>
      </x:c>
      <x:c r="F121" s="111" t="str">
        <x:v>Quality, beta &amp; launch readiness</x:v>
      </x:c>
      <x:c r="G121" s="111" t="str">
        <x:v>Build Pumdoki Discord Server</x:v>
      </x:c>
      <x:c r="H121" s="111" t="str">
        <x:v>In Progress</x:v>
      </x:c>
      <x:c r="I121" s="111" t="str">
        <x:v>Decision Locked</x:v>
      </x:c>
      <x:c r="J121" s="111" t="str">
        <x:v>High</x:v>
      </x:c>
      <x:c r="K121" s="111" t="str">
        <x:v>Founder</x:v>
      </x:c>
      <x:c r="L121" s="111" t="str"/>
      <x:c r="M121" s="111" t="str">
        <x:v>Close the remaining gap: Needed before public launch.</x:v>
      </x:c>
      <x:c r="N121" s="112"/>
      <x:c r="O121" s="111" t="str"/>
      <x:c r="P121" s="112" t="n">
        <x:v>46250.666666666664</x:v>
      </x:c>
      <x:c r="Q121" s="111" t="str">
        <x:v>Marketing tool to build audience, recruit our first creators, and create a community. </x:v>
      </x:c>
      <x:c r="R121" s="111" t="str">
        <x:v>Needed before public launch.</x:v>
      </x:c>
      <x:c r="S121" s="111" t="str">
        <x:v>Preserved Master Tracker row 132; legacy status: 🔄 In Progress</x:v>
      </x:c>
    </x:row>
    <x:row r="122" ht="46" customHeight="1">
      <x:c r="A122" s="111" t="str">
        <x:v>LEG-MT-134</x:v>
      </x:c>
      <x:c r="B122" s="111" t="str">
        <x:v>P14</x:v>
      </x:c>
      <x:c r="C122" s="111" t="str">
        <x:v>QA, security, private beta, and launch</x:v>
      </x:c>
      <x:c r="D122" s="111" t="str"/>
      <x:c r="E122" s="111" t="str">
        <x:v>Legacy-mapped task</x:v>
      </x:c>
      <x:c r="F122" s="111" t="str">
        <x:v>Quality, beta &amp; launch readiness</x:v>
      </x:c>
      <x:c r="G122" s="111" t="str">
        <x:v>Build internal QA checklist</x:v>
      </x:c>
      <x:c r="H122" s="111" t="str">
        <x:v>In Progress</x:v>
      </x:c>
      <x:c r="I122" s="111" t="str">
        <x:v>Decision Locked</x:v>
      </x:c>
      <x:c r="J122" s="111" t="str">
        <x:v>High</x:v>
      </x:c>
      <x:c r="K122" s="111" t="str">
        <x:v>Engineering</x:v>
      </x:c>
      <x:c r="L122" s="111" t="str"/>
      <x:c r="M122" s="111" t="str">
        <x:v>Close the remaining gap: Repository checks and real-stack browser coverage are established, including merged routing, auth, Settings, and creator-application flows.</x:v>
      </x:c>
      <x:c r="N122" s="112"/>
      <x:c r="O122" s="111" t="str"/>
      <x:c r="P122" s="112" t="n">
        <x:v>46250.666666666664</x:v>
      </x:c>
      <x:c r="Q122" s="111" t="str">
        <x:v>Turn roadmap into a structured test list.</x:v>
      </x:c>
      <x:c r="R122" s="111" t="str">
        <x:v>Repository checks and real-stack browser coverage are established, including merged routing, auth, Settings, and creator-application flows. The broader product, beta, payment, moderation, and launch QA checklist remains incomplete.</x:v>
      </x:c>
      <x:c r="S122" s="111" t="str">
        <x:v>Preserved Master Tracker row 134; legacy status: 🔄 In Progress</x:v>
      </x:c>
    </x:row>
    <x:row r="123" ht="46" customHeight="1">
      <x:c r="A123" s="111" t="str">
        <x:v>LEG-MT-135</x:v>
      </x:c>
      <x:c r="B123" s="111" t="str">
        <x:v>P14</x:v>
      </x:c>
      <x:c r="C123" s="111" t="str">
        <x:v>QA, security, private beta, and launch</x:v>
      </x:c>
      <x:c r="D123" s="111" t="str"/>
      <x:c r="E123" s="111" t="str">
        <x:v>Legacy-mapped task</x:v>
      </x:c>
      <x:c r="F123" s="111" t="str">
        <x:v>Quality, beta &amp; launch readiness</x:v>
      </x:c>
      <x:c r="G123" s="111" t="str">
        <x:v>Plan private beta</x:v>
      </x:c>
      <x:c r="H123" s="111" t="str">
        <x:v>Not Started</x:v>
      </x:c>
      <x:c r="I123" s="111" t="str">
        <x:v>N/A</x:v>
      </x:c>
      <x:c r="J123" s="111" t="str">
        <x:v>Medium</x:v>
      </x:c>
      <x:c r="K123" s="111" t="str">
        <x:v>Founder</x:v>
      </x:c>
      <x:c r="L123" s="111" t="str"/>
      <x:c r="M123" s="111" t="str">
        <x:v>Define beta testing and its payment method with the relevant functional slice. No payment implementation alternative is selected.</x:v>
      </x:c>
      <x:c r="N123" s="112"/>
      <x:c r="O123" s="111" t="str"/>
      <x:c r="P123" s="112" t="n">
        <x:v>46274.666666666664</x:v>
      </x:c>
      <x:c r="Q123" s="111" t="str">
        <x:v>Define who tests, what gets tested, how feedback is captured.</x:v>
      </x:c>
      <x:c r="R123" s="111" t="str">
        <x:v>Launch features and live-use controls remain applicable. Beta payment method is unresolved.</x:v>
      </x:c>
      <x:c r="S123" s="111" t="str">
        <x:v>Preserved Master Tracker row 135; legacy status: 📋 Not Started</x:v>
      </x:c>
    </x:row>
    <x:row r="124" ht="46" customHeight="1">
      <x:c r="A124" s="111" t="str">
        <x:v>LEG-MT-136</x:v>
      </x:c>
      <x:c r="B124" s="111" t="str">
        <x:v>P14</x:v>
      </x:c>
      <x:c r="C124" s="111" t="str">
        <x:v>QA, security, private beta, and launch</x:v>
      </x:c>
      <x:c r="D124" s="111" t="str">
        <x:v>P07</x:v>
      </x:c>
      <x:c r="E124" s="111" t="str">
        <x:v>Legacy-mapped task</x:v>
      </x:c>
      <x:c r="F124" s="111" t="str">
        <x:v>Quality, beta &amp; launch readiness</x:v>
      </x:c>
      <x:c r="G124" s="111" t="str">
        <x:v>Run end-to-end flow testing</x:v>
      </x:c>
      <x:c r="H124" s="111" t="str">
        <x:v>Not Started</x:v>
      </x:c>
      <x:c r="I124" s="111" t="str">
        <x:v>N/A</x:v>
      </x:c>
      <x:c r="J124" s="111" t="str">
        <x:v>High</x:v>
      </x:c>
      <x:c r="K124" s="111" t="str">
        <x:v>Engineering</x:v>
      </x:c>
      <x:c r="L124" s="111" t="str">
        <x:v>Founder + counsel/provider</x:v>
      </x:c>
      <x:c r="M124" s="111" t="str">
        <x:v>Confirm dependencies and owner, then define the first deliverable.</x:v>
      </x:c>
      <x:c r="N124" s="112"/>
      <x:c r="O124" s="111" t="str"/>
      <x:c r="P124" s="112" t="n">
        <x:v>46250.666666666664</x:v>
      </x:c>
      <x:c r="Q124" s="111" t="str">
        <x:v>Test signup → content → subscription → gating → payout → admin.</x:v>
      </x:c>
      <x:c r="R124" s="111" t="str">
        <x:v>Needed after core build is ready.</x:v>
      </x:c>
      <x:c r="S124" s="111" t="str">
        <x:v>Preserved Master Tracker row 136; legacy status: 📋 Not Started</x:v>
      </x:c>
    </x:row>
    <x:row r="125" ht="46" customHeight="1">
      <x:c r="A125" s="111" t="str">
        <x:v>LEG-MT-137</x:v>
      </x:c>
      <x:c r="B125" s="111" t="str">
        <x:v>P14</x:v>
      </x:c>
      <x:c r="C125" s="111" t="str">
        <x:v>QA, security, private beta, and launch</x:v>
      </x:c>
      <x:c r="D125" s="111" t="str"/>
      <x:c r="E125" s="111" t="str">
        <x:v>Legacy-mapped task</x:v>
      </x:c>
      <x:c r="F125" s="111" t="str">
        <x:v>Quality, beta &amp; launch readiness</x:v>
      </x:c>
      <x:c r="G125" s="111" t="str">
        <x:v>Run security review</x:v>
      </x:c>
      <x:c r="H125" s="111" t="str">
        <x:v>Not Started</x:v>
      </x:c>
      <x:c r="I125" s="111" t="str">
        <x:v>N/A</x:v>
      </x:c>
      <x:c r="J125" s="111" t="str">
        <x:v>High</x:v>
      </x:c>
      <x:c r="K125" s="111" t="str">
        <x:v>Engineering</x:v>
      </x:c>
      <x:c r="L125" s="111" t="str"/>
      <x:c r="M125" s="111" t="str">
        <x:v>Confirm dependencies and owner, then define the first deliverable.</x:v>
      </x:c>
      <x:c r="N125" s="112"/>
      <x:c r="O125" s="111" t="str"/>
      <x:c r="P125" s="112" t="n">
        <x:v>46250.666666666664</x:v>
      </x:c>
      <x:c r="Q125" s="111" t="str">
        <x:v>Auth, media access, role checks, secrets, signed URLs, abuse risks.</x:v>
      </x:c>
      <x:c r="R125" s="111" t="str">
        <x:v>Needed before public launch.</x:v>
      </x:c>
      <x:c r="S125" s="111" t="str">
        <x:v>Preserved Master Tracker row 137; legacy status: 📋 Not Started</x:v>
      </x:c>
    </x:row>
    <x:row r="126" ht="46" customHeight="1">
      <x:c r="A126" s="111" t="str">
        <x:v>LEG-MT-138</x:v>
      </x:c>
      <x:c r="B126" s="111" t="str">
        <x:v>P14</x:v>
      </x:c>
      <x:c r="C126" s="111" t="str">
        <x:v>QA, security, private beta, and launch</x:v>
      </x:c>
      <x:c r="D126" s="111" t="str">
        <x:v>P06</x:v>
      </x:c>
      <x:c r="E126" s="111" t="str">
        <x:v>Legacy-mapped task</x:v>
      </x:c>
      <x:c r="F126" s="111" t="str">
        <x:v>Quality, beta &amp; launch readiness</x:v>
      </x:c>
      <x:c r="G126" s="111" t="str">
        <x:v>Run payment flow testing</x:v>
      </x:c>
      <x:c r="H126" s="111" t="str">
        <x:v>Not Started</x:v>
      </x:c>
      <x:c r="I126" s="111" t="str">
        <x:v>N/A</x:v>
      </x:c>
      <x:c r="J126" s="111" t="str">
        <x:v>Critical</x:v>
      </x:c>
      <x:c r="K126" s="111" t="str">
        <x:v>Engineering</x:v>
      </x:c>
      <x:c r="L126" s="111" t="str">
        <x:v>Founder + provider response</x:v>
      </x:c>
      <x:c r="M126" s="111" t="str">
        <x:v>Test the agreed implemented payment flow in the appropriate provider test environment. Include cascade only after written confirmation.</x:v>
      </x:c>
      <x:c r="N126" s="112"/>
      <x:c r="O126" s="111" t="str"/>
      <x:c r="P126" s="112" t="n">
        <x:v>46275.666666666664</x:v>
      </x:c>
      <x:c r="Q126" s="111" t="str">
        <x:v>CCBill → Epoch cascade, subscription lifecycle, renewal, cancel, chargebacks.</x:v>
      </x:c>
      <x:c r="R126" s="111" t="str">
        <x:v>CCBill review-site preparation is underway. No payment integration exists to test yet; no passing payment tests are claimed.</x:v>
      </x:c>
      <x:c r="S126" s="111" t="str">
        <x:v>Preserved Master Tracker row 138; legacy status: 📋 Not Started</x:v>
      </x:c>
    </x:row>
    <x:row r="127" ht="46" customHeight="1">
      <x:c r="A127" s="111" t="str">
        <x:v>LEG-MT-139</x:v>
      </x:c>
      <x:c r="B127" s="111" t="str">
        <x:v>P14</x:v>
      </x:c>
      <x:c r="C127" s="111" t="str">
        <x:v>QA, security, private beta, and launch</x:v>
      </x:c>
      <x:c r="D127" s="111" t="str"/>
      <x:c r="E127" s="111" t="str">
        <x:v>Legacy-mapped task</x:v>
      </x:c>
      <x:c r="F127" s="111" t="str">
        <x:v>Quality, beta &amp; launch readiness</x:v>
      </x:c>
      <x:c r="G127" s="111" t="str">
        <x:v>Prepare soft-launch go/no-go checklist</x:v>
      </x:c>
      <x:c r="H127" s="111" t="str">
        <x:v>Not Started</x:v>
      </x:c>
      <x:c r="I127" s="111" t="str">
        <x:v>N/A</x:v>
      </x:c>
      <x:c r="J127" s="111" t="str">
        <x:v>Medium</x:v>
      </x:c>
      <x:c r="K127" s="111" t="str">
        <x:v>Engineering</x:v>
      </x:c>
      <x:c r="L127" s="111" t="str"/>
      <x:c r="M127" s="111" t="str">
        <x:v>Confirm dependencies and owner, then define the first deliverable.</x:v>
      </x:c>
      <x:c r="N127" s="112"/>
      <x:c r="O127" s="111" t="str"/>
      <x:c r="P127" s="112" t="n">
        <x:v>46250.666666666664</x:v>
      </x:c>
      <x:c r="Q127" s="111" t="str">
        <x:v>Define criteria for a limited launch.</x:v>
      </x:c>
      <x:c r="R127" s="111" t="str">
        <x:v>Useful before broad release.</x:v>
      </x:c>
      <x:c r="S127" s="111" t="str">
        <x:v>Preserved Master Tracker row 139; legacy status: 📋 Not Started</x:v>
      </x:c>
    </x:row>
    <x:row r="128" ht="46" customHeight="1">
      <x:c r="A128" s="111" t="str">
        <x:v>LEG-MT-140</x:v>
      </x:c>
      <x:c r="B128" s="111" t="str">
        <x:v>P14</x:v>
      </x:c>
      <x:c r="C128" s="111" t="str">
        <x:v>QA, security, private beta, and launch</x:v>
      </x:c>
      <x:c r="D128" s="111" t="str"/>
      <x:c r="E128" s="111" t="str">
        <x:v>Legacy-mapped task</x:v>
      </x:c>
      <x:c r="F128" s="111" t="str">
        <x:v>Quality, beta &amp; launch readiness</x:v>
      </x:c>
      <x:c r="G128" s="111" t="str">
        <x:v>Prepare public launch checklist</x:v>
      </x:c>
      <x:c r="H128" s="111" t="str">
        <x:v>Not Started</x:v>
      </x:c>
      <x:c r="I128" s="111" t="str">
        <x:v>N/A</x:v>
      </x:c>
      <x:c r="J128" s="111" t="str">
        <x:v>High</x:v>
      </x:c>
      <x:c r="K128" s="111" t="str">
        <x:v>Engineering</x:v>
      </x:c>
      <x:c r="L128" s="111" t="str">
        <x:v>Counsel / founder decision</x:v>
      </x:c>
      <x:c r="M128" s="111" t="str">
        <x:v>Confirm dependencies and owner, then define the first deliverable.</x:v>
      </x:c>
      <x:c r="N128" s="112"/>
      <x:c r="O128" s="111" t="str"/>
      <x:c r="P128" s="112" t="n">
        <x:v>46250.666666666664</x:v>
      </x:c>
      <x:c r="Q128" s="111" t="str">
        <x:v>Confirm readiness: product, legal, payments, support, marketing.</x:v>
      </x:c>
      <x:c r="R128" s="111" t="str">
        <x:v>Final pre-launch checkpoint.</x:v>
      </x:c>
      <x:c r="S128" s="111" t="str">
        <x:v>Preserved Master Tracker row 140; legacy status: 📋 Not Started</x:v>
      </x:c>
    </x:row>
    <x:row r="129" ht="46" customHeight="1">
      <x:c r="A129" s="111" t="str">
        <x:v>LEG-MT-141</x:v>
      </x:c>
      <x:c r="B129" s="111" t="str">
        <x:v>P14</x:v>
      </x:c>
      <x:c r="C129" s="111" t="str">
        <x:v>QA, security, private beta, and launch</x:v>
      </x:c>
      <x:c r="D129" s="111" t="str"/>
      <x:c r="E129" s="111" t="str">
        <x:v>Legacy-mapped task</x:v>
      </x:c>
      <x:c r="F129" s="111" t="str">
        <x:v>Quality, beta &amp; launch readiness</x:v>
      </x:c>
      <x:c r="G129" s="111" t="str">
        <x:v>Define post-launch bug triage process</x:v>
      </x:c>
      <x:c r="H129" s="111" t="str">
        <x:v>Not Started</x:v>
      </x:c>
      <x:c r="I129" s="111" t="str">
        <x:v>N/A</x:v>
      </x:c>
      <x:c r="J129" s="111" t="str">
        <x:v>Medium</x:v>
      </x:c>
      <x:c r="K129" s="111" t="str">
        <x:v>Engineering</x:v>
      </x:c>
      <x:c r="L129" s="111" t="str"/>
      <x:c r="M129" s="111" t="str">
        <x:v>Confirm dependencies and owner, then define the first deliverable.</x:v>
      </x:c>
      <x:c r="N129" s="112"/>
      <x:c r="O129" s="111" t="str"/>
      <x:c r="P129" s="112" t="n">
        <x:v>46250.666666666664</x:v>
      </x:c>
      <x:c r="Q129" s="111" t="str">
        <x:v>Severity rules and response rhythm for launch issues.</x:v>
      </x:c>
      <x:c r="R129" s="111" t="str">
        <x:v>Needed once public users arrive.</x:v>
      </x:c>
      <x:c r="S129" s="111" t="str">
        <x:v>Preserved Master Tracker row 141; legacy status: 📋 Not Started</x:v>
      </x:c>
    </x:row>
    <x:row r="130" ht="46" customHeight="1">
      <x:c r="A130" s="111"/>
      <x:c r="B130" s="111"/>
      <x:c r="C130" s="111"/>
      <x:c r="D130" s="111" t="str"/>
      <x:c r="E130" s="111"/>
      <x:c r="F130" s="111"/>
      <x:c r="G130" s="111"/>
      <x:c r="H130" s="111"/>
      <x:c r="I130" s="111"/>
      <x:c r="J130" s="111"/>
      <x:c r="K130" s="111"/>
      <x:c r="L130" s="111" t="str"/>
      <x:c r="M130" s="111"/>
      <x:c r="N130" s="112"/>
      <x:c r="O130" s="111"/>
      <x:c r="P130" s="112"/>
      <x:c r="Q130" s="111"/>
      <x:c r="R130" s="111"/>
      <x:c r="S130" s="111"/>
    </x:row>
    <x:row r="131" ht="46" customHeight="1">
      <x:c r="A131" s="111"/>
      <x:c r="B131" s="111"/>
      <x:c r="C131" s="111"/>
      <x:c r="D131" s="111" t="str"/>
      <x:c r="E131" s="111"/>
      <x:c r="F131" s="111"/>
      <x:c r="G131" s="111"/>
      <x:c r="H131" s="111"/>
      <x:c r="I131" s="111"/>
      <x:c r="J131" s="111"/>
      <x:c r="K131" s="111"/>
      <x:c r="L131" s="111"/>
      <x:c r="M131" s="111"/>
      <x:c r="N131" s="112"/>
      <x:c r="O131" s="111"/>
      <x:c r="P131" s="112"/>
      <x:c r="Q131" s="111"/>
      <x:c r="R131" s="111"/>
      <x:c r="S131" s="111"/>
    </x:row>
    <x:row r="132" ht="46" customHeight="1">
      <x:c r="A132" s="111" t="str">
        <x:v>LEG-MT-145</x:v>
      </x:c>
      <x:c r="B132" s="111" t="str">
        <x:v>P06</x:v>
      </x:c>
      <x:c r="C132" s="111" t="str">
        <x:v>Payments, subscriptions, tipping, and PPV</x:v>
      </x:c>
      <x:c r="D132" s="111" t="str"/>
      <x:c r="E132" s="111" t="str">
        <x:v>Legacy-mapped task</x:v>
      </x:c>
      <x:c r="F132" s="111" t="str">
        <x:v>Payments &amp; entitlements</x:v>
      </x:c>
      <x:c r="G132" s="111" t="str">
        <x:v>Implement tipping / Send Love</x:v>
      </x:c>
      <x:c r="H132" s="111" t="str">
        <x:v>Not Started</x:v>
      </x:c>
      <x:c r="I132" s="111" t="str">
        <x:v>N/A</x:v>
      </x:c>
      <x:c r="J132" s="111" t="str">
        <x:v>Critical</x:v>
      </x:c>
      <x:c r="K132" s="111" t="str">
        <x:v>Engineering</x:v>
      </x:c>
      <x:c r="L132" s="111" t="str"/>
      <x:c r="M132" s="111" t="str">
        <x:v>Define tipping funding with the beta payment method and processor terms.</x:v>
      </x:c>
      <x:c r="N132" s="112"/>
      <x:c r="O132" s="111" t="str"/>
      <x:c r="P132" s="112" t="n">
        <x:v>46274.666666666664</x:v>
      </x:c>
      <x:c r="Q132" s="111" t="str">
        <x:v>Tipping/Send Love remains launch scope. Paid flows need idempotent payment evidence, creator earnings and refund controls.</x:v>
      </x:c>
      <x:c r="R132" s="111" t="str">
        <x:v>Historically moved from backlog into launch scope. Beta payment method remains unresolved.</x:v>
      </x:c>
      <x:c r="S132" s="111" t="str">
        <x:v>Preserved Master Tracker row 145; legacy status: 📋 Not Started</x:v>
      </x:c>
    </x:row>
    <x:row r="133" ht="46" customHeight="1">
      <x:c r="A133" s="111" t="str">
        <x:v>LEG-MT-146</x:v>
      </x:c>
      <x:c r="B133" s="111" t="str">
        <x:v>P06</x:v>
      </x:c>
      <x:c r="C133" s="111" t="str">
        <x:v>Payments, subscriptions, tipping, and PPV</x:v>
      </x:c>
      <x:c r="D133" s="111" t="str"/>
      <x:c r="E133" s="111" t="str">
        <x:v>Legacy-mapped task</x:v>
      </x:c>
      <x:c r="F133" s="111" t="str">
        <x:v>Payments &amp; entitlements</x:v>
      </x:c>
      <x:c r="G133" s="111" t="str">
        <x:v>Implement PPV purchases</x:v>
      </x:c>
      <x:c r="H133" s="111" t="str">
        <x:v>Not Started</x:v>
      </x:c>
      <x:c r="I133" s="111" t="str">
        <x:v>N/A</x:v>
      </x:c>
      <x:c r="J133" s="111" t="str">
        <x:v>Medium</x:v>
      </x:c>
      <x:c r="K133" s="111" t="str">
        <x:v>Engineering</x:v>
      </x:c>
      <x:c r="L133" s="111" t="str"/>
      <x:c r="M133" s="111" t="str">
        <x:v>Define PPV funding with the beta payment method and processor terms. Preserve durable entitlements and reconciliation.</x:v>
      </x:c>
      <x:c r="N133" s="112"/>
      <x:c r="O133" s="111" t="str"/>
      <x:c r="P133" s="112" t="n">
        <x:v>46274.666666666664</x:v>
      </x:c>
      <x:c r="Q133" s="111" t="str">
        <x:v>Unlock individual photos/videos or bundles using the agreed beta payment method, with durable asset-level entitlements.</x:v>
      </x:c>
      <x:c r="R133" s="111" t="str">
        <x:v>Historically moved from backlog into launch scope. Payment method remains unresolved.</x:v>
      </x:c>
      <x:c r="S133" s="111" t="str">
        <x:v>Preserved Master Tracker row 146; legacy status: 📋 Not Started</x:v>
      </x:c>
    </x:row>
    <x:row r="134" ht="46" customHeight="1">
      <x:c r="A134" s="111" t="str">
        <x:v>LEG-MT-147</x:v>
      </x:c>
      <x:c r="B134" s="111" t="str">
        <x:v>P09</x:v>
      </x:c>
      <x:c r="C134" s="111" t="str">
        <x:v>Real-time messaging and notifications</x:v>
      </x:c>
      <x:c r="D134" s="111" t="str"/>
      <x:c r="E134" s="111" t="str">
        <x:v>Legacy-mapped task</x:v>
      </x:c>
      <x:c r="F134" s="111" t="str">
        <x:v>Real-time messaging and notifications</x:v>
      </x:c>
      <x:c r="G134" s="111" t="str">
        <x:v>Implement real-time WebSocket messaging</x:v>
      </x:c>
      <x:c r="H134" s="111" t="str">
        <x:v>Not Started</x:v>
      </x:c>
      <x:c r="I134" s="111" t="str">
        <x:v>N/A</x:v>
      </x:c>
      <x:c r="J134" s="111" t="str">
        <x:v>Critical</x:v>
      </x:c>
      <x:c r="K134" s="111" t="str">
        <x:v>Engineering</x:v>
      </x:c>
      <x:c r="L134" s="111" t="str"/>
      <x:c r="M134" s="111" t="str">
        <x:v>Confirm dependencies and owner, then define the first deliverable.</x:v>
      </x:c>
      <x:c r="N134" s="112"/>
      <x:c r="O134" s="111" t="str"/>
      <x:c r="P134" s="112" t="n">
        <x:v>46271.666666666664</x:v>
      </x:c>
      <x:c r="Q134" s="111" t="str">
        <x:v>Authenticated direct messages with persistence, reconnect, read states, presence, rate limits, block, and report.</x:v>
      </x:c>
      <x:c r="R134" s="111" t="str">
        <x:v>Basic real-time DMs are launch scope; advanced group/chat features remain post-MVP.</x:v>
      </x:c>
      <x:c r="S134" s="111" t="str">
        <x:v>Preserved Master Tracker row 147; legacy status: 📋 Not Started</x:v>
      </x:c>
    </x:row>
    <x:row r="135" ht="46" customHeight="1">
      <x:c r="A135" s="111" t="str">
        <x:v>LEG-MT-148</x:v>
      </x:c>
      <x:c r="B135" s="111" t="str">
        <x:v>P08</x:v>
      </x:c>
      <x:c r="C135" s="111" t="str">
        <x:v>Feed, social actions, Store, and Connect</x:v>
      </x:c>
      <x:c r="D135" s="111" t="str"/>
      <x:c r="E135" s="111" t="str">
        <x:v>Legacy-mapped task</x:v>
      </x:c>
      <x:c r="F135" s="111" t="str">
        <x:v>Feed, social actions, Store, and Connect</x:v>
      </x:c>
      <x:c r="G135" s="111" t="str">
        <x:v>Complete Store for launch</x:v>
      </x:c>
      <x:c r="H135" s="111" t="str">
        <x:v>In Progress</x:v>
      </x:c>
      <x:c r="I135" s="111" t="str">
        <x:v>UI Prototype</x:v>
      </x:c>
      <x:c r="J135" s="111" t="str">
        <x:v>High</x:v>
      </x:c>
      <x:c r="K135" s="111" t="str">
        <x:v>Engineering</x:v>
      </x:c>
      <x:c r="L135" s="111" t="str"/>
      <x:c r="M135" s="111" t="str">
        <x:v>Close the remaining gap: UI prototype exists; backend and payment integration remain.</x:v>
      </x:c>
      <x:c r="N135" s="112"/>
      <x:c r="O135" s="111" t="str"/>
      <x:c r="P135" s="112" t="n">
        <x:v>46250.666666666664</x:v>
      </x:c>
      <x:c r="Q135" s="111" t="str">
        <x:v>Connect Store tabs, search, purchase, history, favorites, liked content, filters, and responsive four-card desktop presentation to real data.</x:v>
      </x:c>
      <x:c r="R135" s="111" t="str">
        <x:v>UI prototype exists; backend and payment integration remain.</x:v>
      </x:c>
      <x:c r="S135" s="111" t="str">
        <x:v>Preserved Master Tracker row 148; legacy status: 🔄 In Progress</x:v>
      </x:c>
    </x:row>
    <x:row r="136" ht="46" customHeight="1">
      <x:c r="A136" s="111" t="str">
        <x:v>LEG-MT-149</x:v>
      </x:c>
      <x:c r="B136" s="111" t="str">
        <x:v>P08</x:v>
      </x:c>
      <x:c r="C136" s="111" t="str">
        <x:v>Feed, social actions, Store, and Connect</x:v>
      </x:c>
      <x:c r="D136" s="111" t="str"/>
      <x:c r="E136" s="111" t="str">
        <x:v>Legacy-mapped task</x:v>
      </x:c>
      <x:c r="F136" s="111" t="str">
        <x:v>Feed, social actions, Store, and Connect</x:v>
      </x:c>
      <x:c r="G136" s="111" t="str">
        <x:v>Complete Connect for launch</x:v>
      </x:c>
      <x:c r="H136" s="111" t="str">
        <x:v>In Progress</x:v>
      </x:c>
      <x:c r="I136" s="111" t="str">
        <x:v>UI Prototype</x:v>
      </x:c>
      <x:c r="J136" s="111" t="str">
        <x:v>Critical</x:v>
      </x:c>
      <x:c r="K136" s="111" t="str">
        <x:v>Engineering</x:v>
      </x:c>
      <x:c r="L136" s="111" t="str"/>
      <x:c r="M136" s="111" t="str">
        <x:v>Build persisted creator discovery with online, price and language filters. Service/order terms need separate definition.</x:v>
      </x:c>
      <x:c r="N136" s="112"/>
      <x:c r="O136" s="111" t="str"/>
      <x:c r="P136" s="112" t="n">
        <x:v>46271.666666666664</x:v>
      </x:c>
      <x:c r="Q136" s="111" t="str">
        <x:v>Connect is a creator discovery/explore page. It does not itself imply an automated scheduling, booking or fulfillment system.</x:v>
      </x:c>
      <x:c r="R136" s="111" t="str">
        <x:v>Founder clarified September 6, 2026. Old full-booking interpretation superseded; launch discovery remains required.</x:v>
      </x:c>
      <x:c r="S136" s="111" t="str">
        <x:v>Preserved Master Tracker row 149; legacy status: 🔄 In Progress</x:v>
      </x:c>
    </x:row>
    <x:row r="137" ht="46" customHeight="1">
      <x:c r="A137" s="111" t="str">
        <x:v>LEG-MT-150</x:v>
      </x:c>
      <x:c r="B137" s="111" t="str">
        <x:v>P12</x:v>
      </x:c>
      <x:c r="C137" s="111" t="str">
        <x:v>Oasis/Drimy launch implementation</x:v>
      </x:c>
      <x:c r="D137" s="111" t="str"/>
      <x:c r="E137" s="111" t="str">
        <x:v>Legacy-mapped task</x:v>
      </x:c>
      <x:c r="F137" s="111" t="str">
        <x:v>Oasis/Drimy launch implementation</x:v>
      </x:c>
      <x:c r="G137" s="111" t="str">
        <x:v>CANCELLED: old Oasis / Drimy game</x:v>
      </x:c>
      <x:c r="H137" s="111" t="str">
        <x:v>Deferred</x:v>
      </x:c>
      <x:c r="I137" s="111" t="str">
        <x:v>UI Prototype</x:v>
      </x:c>
      <x:c r="J137" s="111" t="str">
        <x:v>Low</x:v>
      </x:c>
      <x:c r="K137" s="111" t="str">
        <x:v>Engineering</x:v>
      </x:c>
      <x:c r="L137" s="111" t="str">
        <x:v>Cancelled by founder</x:v>
      </x:c>
      <x:c r="M137" s="111" t="str">
        <x:v>Do not implement this legacy game. Future streak/language concept is separate and post-launch.</x:v>
      </x:c>
      <x:c r="N137" s="112"/>
      <x:c r="O137" s="111" t="str"/>
      <x:c r="P137" s="112" t="n">
        <x:v>46271.666666666664</x:v>
      </x:c>
      <x:c r="Q137" s="111" t="str">
        <x:v>Create server-authoritative Drimy ownership, XP, Orbs, tasks, evolution, inventory, achievements, and daily resets.</x:v>
      </x:c>
      <x:c r="R137" s="111" t="str">
        <x:v>Cancelled September 6, 2026. Historical specification retained in Scope/Description and preserved Master Tracker. This is not a launch dependency.</x:v>
      </x:c>
      <x:c r="S137" s="111" t="str">
        <x:v>Preserved Master Tracker row 150; legacy status: 🔄 In Progress</x:v>
      </x:c>
    </x:row>
    <x:row r="138" ht="46" customHeight="1">
      <x:c r="A138" s="111" t="str">
        <x:v>LEG-MT-151</x:v>
      </x:c>
      <x:c r="B138" s="111" t="str">
        <x:v>P12</x:v>
      </x:c>
      <x:c r="C138" s="111" t="str">
        <x:v>Oasis/Drimy launch implementation</x:v>
      </x:c>
      <x:c r="D138" s="111" t="str"/>
      <x:c r="E138" s="111" t="str">
        <x:v>Legacy-mapped task</x:v>
      </x:c>
      <x:c r="F138" s="111" t="str">
        <x:v>Oasis/Drimy launch implementation</x:v>
      </x:c>
      <x:c r="G138" s="111" t="str">
        <x:v>CANCELLED: old Oasis game collectibles</x:v>
      </x:c>
      <x:c r="H138" s="111" t="str">
        <x:v>Deferred</x:v>
      </x:c>
      <x:c r="I138" s="111" t="str">
        <x:v>N/A</x:v>
      </x:c>
      <x:c r="J138" s="111" t="str">
        <x:v>Low</x:v>
      </x:c>
      <x:c r="K138" s="111" t="str">
        <x:v>Engineering</x:v>
      </x:c>
      <x:c r="L138" s="111" t="str">
        <x:v>Cancelled by founder</x:v>
      </x:c>
      <x:c r="M138" s="111" t="str">
        <x:v>Do not implement this legacy game. Future streak/language concept is separate and post-launch.</x:v>
      </x:c>
      <x:c r="N138" s="112"/>
      <x:c r="O138" s="111" t="str"/>
      <x:c r="P138" s="112" t="n">
        <x:v>46271.666666666664</x:v>
      </x:c>
      <x:c r="Q138" s="111" t="str">
        <x:v>Create collectible backgrounds, skins, frames, badges, equipped states, fixed-price store items, and reward inventory.</x:v>
      </x:c>
      <x:c r="R138" s="111" t="str">
        <x:v>Cancelled September 6, 2026. Historical specification retained in Scope/Description and preserved Master Tracker. This is not a launch dependency.</x:v>
      </x:c>
      <x:c r="S138" s="111" t="str">
        <x:v>Preserved Master Tracker row 151; legacy status: 📋 Not Started</x:v>
      </x:c>
    </x:row>
    <x:row r="139" ht="46" customHeight="1">
      <x:c r="A139" s="111" t="str">
        <x:v>LEG-MT-152</x:v>
      </x:c>
      <x:c r="B139" s="111" t="str">
        <x:v>P05</x:v>
      </x:c>
      <x:c r="C139" s="111" t="str">
        <x:v>Media pipeline and content model</x:v>
      </x:c>
      <x:c r="D139" s="111" t="str"/>
      <x:c r="E139" s="111" t="str">
        <x:v>Legacy-mapped task</x:v>
      </x:c>
      <x:c r="F139" s="111" t="str">
        <x:v>Media pipeline and content model</x:v>
      </x:c>
      <x:c r="G139" s="111" t="str">
        <x:v>Implement explicit-content preference</x:v>
      </x:c>
      <x:c r="H139" s="111" t="str">
        <x:v>In Progress</x:v>
      </x:c>
      <x:c r="I139" s="111" t="str">
        <x:v>Decision Locked</x:v>
      </x:c>
      <x:c r="J139" s="111" t="str">
        <x:v>Medium</x:v>
      </x:c>
      <x:c r="K139" s="111" t="str">
        <x:v>Engineering</x:v>
      </x:c>
      <x:c r="L139" s="111" t="str"/>
      <x:c r="M139" s="111" t="str">
        <x:v>Close the remaining gap: Default-hidden preference persistence and protected Settings opt-in/immediate opt-out are implemented and CI-verified.</x:v>
      </x:c>
      <x:c r="N139" s="112"/>
      <x:c r="O139" s="111" t="str"/>
      <x:c r="P139" s="112" t="n">
        <x:v>46250.666666666664</x:v>
      </x:c>
      <x:c r="Q139" s="111" t="str">
        <x:v>Add hide/show 18+ content choice to onboarding, Settings, feed, search, Store, and Connect; default hidden.</x:v>
      </x:c>
      <x:c r="R139" s="111" t="str">
        <x:v>Default-hidden preference persistence and protected Settings opt-in/immediate opt-out are implemented and CI-verified. Onboarding and server-side feed/search/Store/Connect enforcement remain pending.</x:v>
      </x:c>
      <x:c r="S139" s="111" t="str">
        <x:v>Preserved Master Tracker row 152; legacy status: 🔄 In Progress</x:v>
      </x:c>
    </x:row>
    <x:row r="140" ht="46" customHeight="1">
      <x:c r="A140" s="111" t="str">
        <x:v>LEG-MT-153</x:v>
      </x:c>
      <x:c r="B140" s="111" t="str">
        <x:v>P04</x:v>
      </x:c>
      <x:c r="C140" s="111" t="str">
        <x:v>Legal, trust, and creator onboarding</x:v>
      </x:c>
      <x:c r="D140" s="111" t="str"/>
      <x:c r="E140" s="111" t="str">
        <x:v>Legacy-mapped task</x:v>
      </x:c>
      <x:c r="F140" s="111" t="str">
        <x:v>Legal &amp; compliance</x:v>
      </x:c>
      <x:c r="G140" s="111" t="str">
        <x:v>Define international launch allowlist</x:v>
      </x:c>
      <x:c r="H140" s="111" t="str">
        <x:v>Not Started</x:v>
      </x:c>
      <x:c r="I140" s="111" t="str">
        <x:v>N/A</x:v>
      </x:c>
      <x:c r="J140" s="111" t="str">
        <x:v>High</x:v>
      </x:c>
      <x:c r="K140" s="111" t="str">
        <x:v>Engineering</x:v>
      </x:c>
      <x:c r="L140" s="111" t="str">
        <x:v>Founder + counsel/provider</x:v>
      </x:c>
      <x:c r="M140" s="111" t="str">
        <x:v>Confirm dependencies and owner, then define the first deliverable.</x:v>
      </x:c>
      <x:c r="N140" s="112"/>
      <x:c r="O140" s="111" t="str"/>
      <x:c r="P140" s="112" t="n">
        <x:v>46250.666666666664</x:v>
      </x:c>
      <x:c r="Q140" s="111" t="str">
        <x:v>Enable countries only after payment, payout, identity, adult-content law, privacy, tax, sanctions, and support review.</x:v>
      </x:c>
      <x:c r="R140" s="111" t="str">
        <x:v>Prioritize USA and selected Latin American countries; phase EU/EEA carefully.</x:v>
      </x:c>
      <x:c r="S140" s="111" t="str">
        <x:v>Preserved Master Tracker row 153; legacy status: 📋 Not Started</x:v>
      </x:c>
    </x:row>
    <x:row r="141" ht="46" customHeight="1">
      <x:c r="A141" s="111" t="str">
        <x:v>LEG-MT-154</x:v>
      </x:c>
      <x:c r="B141" s="111" t="str">
        <x:v>P04</x:v>
      </x:c>
      <x:c r="C141" s="111" t="str">
        <x:v>Legal, trust, and creator onboarding</x:v>
      </x:c>
      <x:c r="D141" s="111" t="str">
        <x:v>P06, P13</x:v>
      </x:c>
      <x:c r="E141" s="111" t="str">
        <x:v>Legacy-mapped task</x:v>
      </x:c>
      <x:c r="F141" s="111" t="str">
        <x:v>Creator onboarding &amp; trust</x:v>
      </x:c>
      <x:c r="G141" s="111" t="str">
        <x:v>Support Latin American creator onboarding</x:v>
      </x:c>
      <x:c r="H141" s="111" t="str">
        <x:v>Not Started</x:v>
      </x:c>
      <x:c r="I141" s="111" t="str">
        <x:v>N/A</x:v>
      </x:c>
      <x:c r="J141" s="111" t="str">
        <x:v>High</x:v>
      </x:c>
      <x:c r="K141" s="111" t="str">
        <x:v>Engineering</x:v>
      </x:c>
      <x:c r="L141" s="111" t="str">
        <x:v>Founder + counsel/provider</x:v>
      </x:c>
      <x:c r="M141" s="111" t="str">
        <x:v>Confirm dependencies and owner, then define the first deliverable.</x:v>
      </x:c>
      <x:c r="N141" s="112"/>
      <x:c r="O141" s="111" t="str"/>
      <x:c r="P141" s="112" t="n">
        <x:v>46250.666666666664</x:v>
      </x:c>
      <x:c r="Q141" s="111" t="str">
        <x:v>Plan Spanish localization, local IDs, tax residency, payout support, time zones, and region-appropriate assistance.</x:v>
      </x:c>
      <x:c r="R141" s="111" t="str">
        <x:v>Core creator acquisition requirement.</x:v>
      </x:c>
      <x:c r="S141" s="111" t="str">
        <x:v>Preserved Master Tracker row 154; legacy status: 📋 Not Started</x:v>
      </x:c>
    </x:row>
    <x:row r="142" ht="46" customHeight="1">
      <x:c r="A142" s="111" t="str">
        <x:v>LEG-MT-155</x:v>
      </x:c>
      <x:c r="B142" s="111" t="str">
        <x:v>P04</x:v>
      </x:c>
      <x:c r="C142" s="111" t="str">
        <x:v>Legal, trust, and creator onboarding</x:v>
      </x:c>
      <x:c r="D142" s="111" t="str"/>
      <x:c r="E142" s="111" t="str">
        <x:v>Legacy-mapped task</x:v>
      </x:c>
      <x:c r="F142" s="111" t="str">
        <x:v>Creator onboarding &amp; trust</x:v>
      </x:c>
      <x:c r="G142" s="111" t="str">
        <x:v>Select identity verification approach</x:v>
      </x:c>
      <x:c r="H142" s="111" t="str">
        <x:v>Not Started</x:v>
      </x:c>
      <x:c r="I142" s="111" t="str">
        <x:v>N/A</x:v>
      </x:c>
      <x:c r="J142" s="111" t="str">
        <x:v>Medium</x:v>
      </x:c>
      <x:c r="K142" s="111" t="str">
        <x:v>Engineering</x:v>
      </x:c>
      <x:c r="L142" s="111" t="str"/>
      <x:c r="M142" s="111" t="str">
        <x:v>Confirm dependencies and owner, then define the first deliverable.</x:v>
      </x:c>
      <x:c r="N142" s="112"/>
      <x:c r="O142" s="111" t="str"/>
      <x:c r="P142" s="112" t="n">
        <x:v>46250.666666666664</x:v>
      </x:c>
      <x:c r="Q142" s="111" t="str">
        <x:v>Compare specialist providers and a tightly controlled manual-beta workflow; design for later provider migration.</x:v>
      </x:c>
      <x:c r="R142" s="111" t="str">
        <x:v>Manual review requires encrypted isolated storage, strict access, and audit logs.</x:v>
      </x:c>
      <x:c r="S142" s="111" t="str">
        <x:v>Preserved Master Tracker row 155; legacy status: 📋 Not Started</x:v>
      </x:c>
    </x:row>
    <x:row r="143" ht="46" customHeight="1">
      <x:c r="A143" s="111" t="str">
        <x:v>LEG-MT-156</x:v>
      </x:c>
      <x:c r="B143" s="111" t="str">
        <x:v>P05</x:v>
      </x:c>
      <x:c r="C143" s="111" t="str">
        <x:v>Media pipeline and content model</x:v>
      </x:c>
      <x:c r="D143" s="111" t="str"/>
      <x:c r="E143" s="111" t="str">
        <x:v>Legacy-mapped task</x:v>
      </x:c>
      <x:c r="F143" s="111" t="str">
        <x:v>Media pipeline and content model</x:v>
      </x:c>
      <x:c r="G143" s="111" t="str">
        <x:v>Define initial media upload limits</x:v>
      </x:c>
      <x:c r="H143" s="111" t="str">
        <x:v>Not Started</x:v>
      </x:c>
      <x:c r="I143" s="111" t="str">
        <x:v>N/A</x:v>
      </x:c>
      <x:c r="J143" s="111" t="str">
        <x:v>Medium</x:v>
      </x:c>
      <x:c r="K143" s="111" t="str">
        <x:v>Engineering</x:v>
      </x:c>
      <x:c r="L143" s="111" t="str"/>
      <x:c r="M143" s="111" t="str">
        <x:v>Confirm dependencies and owner, then define the first deliverable.</x:v>
      </x:c>
      <x:c r="N143" s="112"/>
      <x:c r="O143" s="111" t="str"/>
      <x:c r="P143" s="112" t="n">
        <x:v>46250.666666666664</x:v>
      </x:c>
      <x:c r="Q143" s="111" t="str">
        <x:v>Start with cost-conscious limits and direct R2 uploads; measure beta storage/transcoding cost before raising limits.</x:v>
      </x:c>
      <x:c r="R143" s="111" t="str">
        <x:v>Provisional: images 20 MB, video 1 GB/30 min, audio 250 MB, ID files 10 MB.</x:v>
      </x:c>
      <x:c r="S143" s="111" t="str">
        <x:v>Preserved Master Tracker row 156; legacy status: 📋 Not Started</x:v>
      </x:c>
    </x:row>
    <x:row r="144" ht="46" customHeight="1">
      <x:c r="A144" s="111" t="str">
        <x:v>LEG-MT-157</x:v>
      </x:c>
      <x:c r="B144" s="111" t="str">
        <x:v>P02</x:v>
      </x:c>
      <x:c r="C144" s="111" t="str">
        <x:v>Backend and database foundation</x:v>
      </x:c>
      <x:c r="D144" s="111" t="str"/>
      <x:c r="E144" s="111" t="str">
        <x:v>Legacy-mapped task</x:v>
      </x:c>
      <x:c r="F144" s="111" t="str">
        <x:v>Backend and database foundation</x:v>
      </x:c>
      <x:c r="G144" s="111" t="str">
        <x:v>Select transactional email provider</x:v>
      </x:c>
      <x:c r="H144" s="111" t="str">
        <x:v>Not Started</x:v>
      </x:c>
      <x:c r="I144" s="111" t="str">
        <x:v>N/A</x:v>
      </x:c>
      <x:c r="J144" s="111" t="str">
        <x:v>Medium</x:v>
      </x:c>
      <x:c r="K144" s="111" t="str">
        <x:v>Engineering</x:v>
      </x:c>
      <x:c r="L144" s="111" t="str"/>
      <x:c r="M144" s="111" t="str">
        <x:v>Confirm dependencies and owner, then define the first deliverable.</x:v>
      </x:c>
      <x:c r="N144" s="112"/>
      <x:c r="O144" s="111" t="str"/>
      <x:c r="P144" s="112" t="n">
        <x:v>46250.666666666664</x:v>
      </x:c>
      <x:c r="Q144" s="111" t="str">
        <x:v>Evaluate Amazon SES first, verify adult-business support, and implement verification, reset, billing, moderation, and booking mail.</x:v>
      </x:c>
      <x:c r="R144" s="111" t="str">
        <x:v>Provider-neutral SMTP/console abstraction and local Mailpit are implemented. Production provider selection, adult-business support, deliverability, TLS, DKIM, SPF, and DMARC remain open.</x:v>
      </x:c>
      <x:c r="S144" s="111" t="str">
        <x:v>Preserved Master Tracker row 157; legacy status: 📋 Not Started</x:v>
      </x:c>
    </x:row>
    <x:row r="145" ht="46" customHeight="1">
      <x:c r="A145" s="111" t="str">
        <x:v>LEG-MT-158</x:v>
      </x:c>
      <x:c r="B145" s="111" t="str">
        <x:v>P04</x:v>
      </x:c>
      <x:c r="C145" s="111" t="str">
        <x:v>Legal, trust, and creator onboarding</x:v>
      </x:c>
      <x:c r="D145" s="111" t="str"/>
      <x:c r="E145" s="111" t="str">
        <x:v>Legacy-mapped task</x:v>
      </x:c>
      <x:c r="F145" s="111" t="str">
        <x:v>Legal &amp; compliance</x:v>
      </x:c>
      <x:c r="G145" s="111" t="str">
        <x:v>Complete Maryland LLC formation</x:v>
      </x:c>
      <x:c r="H145" s="111" t="str">
        <x:v>In Progress</x:v>
      </x:c>
      <x:c r="I145" s="111" t="str">
        <x:v>N/A</x:v>
      </x:c>
      <x:c r="J145" s="111" t="str">
        <x:v>Medium</x:v>
      </x:c>
      <x:c r="K145" s="111" t="str">
        <x:v>Founder</x:v>
      </x:c>
      <x:c r="L145" s="111" t="str">
        <x:v>Northwest / state approval</x:v>
      </x:c>
      <x:c r="M145" s="111" t="str">
        <x:v>Await Maryland approval and approved documents. Filing is reported complete; exact filing date/ID, EIN, bank setup and actual invoice remain unverified.</x:v>
      </x:c>
      <x:c r="N145" s="112"/>
      <x:c r="O145" s="111" t="str"/>
      <x:c r="P145" s="112" t="n">
        <x:v>46273.666666666664</x:v>
      </x:c>
      <x:c r="Q145" s="111" t="str">
        <x:v>Maryland LLC selected and filing reported by founder for Kiban Digital Holdings LLC through Northwest. Record approved filing and address details once returned.</x:v>
      </x:c>
      <x:c r="R145" s="111" t="str">
        <x:v>Founder reported filing complete September 8, 2026; this is the report date, not a verified filing date. State approval pending. Filing ID and actual cost were not supplied.</x:v>
      </x:c>
      <x:c r="S145" s="111" t="str">
        <x:v>Preserved Master Tracker row 158; legacy status: 📋 Not Started</x:v>
      </x:c>
    </x:row>
    <x:row r="146" ht="46" customHeight="1">
      <x:c r="A146" s="111" t="str">
        <x:v>LEG-MT-159</x:v>
      </x:c>
      <x:c r="B146" s="111" t="str">
        <x:v>P06</x:v>
      </x:c>
      <x:c r="C146" s="111" t="str">
        <x:v>Payments, subscriptions, tipping, and PPV</x:v>
      </x:c>
      <x:c r="D146" s="111" t="str"/>
      <x:c r="E146" s="111" t="str">
        <x:v>Legacy-mapped task</x:v>
      </x:c>
      <x:c r="F146" s="111" t="str">
        <x:v>Payments &amp; entitlements</x:v>
      </x:c>
      <x:c r="G146" s="111" t="str">
        <x:v>Decide commission and payout model</x:v>
      </x:c>
      <x:c r="H146" s="111" t="str">
        <x:v>Not Started</x:v>
      </x:c>
      <x:c r="I146" s="111" t="str">
        <x:v>N/A</x:v>
      </x:c>
      <x:c r="J146" s="111" t="str">
        <x:v>High</x:v>
      </x:c>
      <x:c r="K146" s="111" t="str">
        <x:v>Founder</x:v>
      </x:c>
      <x:c r="L146" s="111" t="str">
        <x:v>Founder + provider response</x:v>
      </x:c>
      <x:c r="M146" s="111" t="str">
        <x:v>Confirm dependencies and owner, then define the first deliverable.</x:v>
      </x:c>
      <x:c r="N146" s="112"/>
      <x:c r="O146" s="111" t="str"/>
      <x:c r="P146" s="112" t="n">
        <x:v>46250.666666666664</x:v>
      </x:c>
      <x:c r="Q146" s="111" t="str">
        <x:v>Model processor fees, chargebacks, refunds, taxes, platform fee, Founding Creator discount, payout cadence, and minimum.</x:v>
      </x:c>
      <x:c r="R146" s="111" t="str">
        <x:v>Do not publish the current 80/20 mock copy until actual processor economics are known.</x:v>
      </x:c>
      <x:c r="S146" s="111" t="str">
        <x:v>Preserved Master Tracker row 159; legacy status: 📋 Not Started</x:v>
      </x:c>
    </x:row>
    <x:row r="147" ht="46" customHeight="1">
      <x:c r="A147" s="111" t="str">
        <x:v>LEG-MT-160</x:v>
      </x:c>
      <x:c r="B147" s="111" t="str">
        <x:v>P11</x:v>
      </x:c>
      <x:c r="C147" s="111" t="str">
        <x:v>Admin and moderation</x:v>
      </x:c>
      <x:c r="D147" s="111" t="str"/>
      <x:c r="E147" s="111" t="str">
        <x:v>Legacy-mapped task</x:v>
      </x:c>
      <x:c r="F147" s="111" t="str">
        <x:v>Private operations &amp; moderation</x:v>
      </x:c>
      <x:c r="G147" s="111" t="str">
        <x:v>Define private operations architecture</x:v>
      </x:c>
      <x:c r="H147" s="111" t="str">
        <x:v>In Progress</x:v>
      </x:c>
      <x:c r="I147" s="111" t="str">
        <x:v>Backend Implemented</x:v>
      </x:c>
      <x:c r="J147" s="111" t="str">
        <x:v>Medium</x:v>
      </x:c>
      <x:c r="K147" s="111" t="str">
        <x:v>Engineering</x:v>
      </x:c>
      <x:c r="L147" s="111" t="str">
        <x:v>Private-operations security gates</x:v>
      </x:c>
      <x:c r="M147" s="111" t="str">
        <x:v>Close the remaining gap: A separate apps/admin shell, dormant injected-verifier review seam, and merged non-secret G1–G12 readiness packet exist.</x:v>
      </x:c>
      <x:c r="N147" s="112"/>
      <x:c r="O147" s="111" t="str"/>
      <x:c r="P147" s="112" t="n">
        <x:v>46250.666666666664</x:v>
      </x:c>
      <x:c r="Q147" s="111" t="str">
        <x:v>Build a separately deployed private operations application with API-enforced ADMIN permissions, stronger access controls, sensitive-record permissions, and immutable audit logging.</x:v>
      </x:c>
      <x:c r="R147" s="111" t="str">
        <x:v>A separate apps/admin shell, dormant injected-verifier review seam, and merged non-secret G1–G12 readiness packet exist. The router is unmounted; production authentication, restricted hosting, phishing-resistant hardware-backed assurance, operator provisioning, origin/CSRF controls, trusted-proxy handling, restricted DB grants, immutable audit, and deployment are absent; all gates are NOT EVALUATED.</x:v>
      </x:c>
      <x:c r="S147" s="111" t="str">
        <x:v>Preserved Master Tracker row 160; legacy status: 🔄 In Progress</x:v>
      </x:c>
    </x:row>
    <x:row r="148" ht="46" customHeight="1">
      <x:c r="A148" s="111" t="str">
        <x:v>LEG-MT-161</x:v>
      </x:c>
      <x:c r="B148" s="111" t="str">
        <x:v>P02</x:v>
      </x:c>
      <x:c r="C148" s="111" t="str">
        <x:v>Backend and database foundation</x:v>
      </x:c>
      <x:c r="D148" s="111" t="str"/>
      <x:c r="E148" s="111" t="str">
        <x:v>Legacy-mapped task</x:v>
      </x:c>
      <x:c r="F148" s="111" t="str">
        <x:v>Backend and database foundation</x:v>
      </x:c>
      <x:c r="G148" s="111" t="str">
        <x:v>Adopt TypeScript backend and shared contracts</x:v>
      </x:c>
      <x:c r="H148" s="111" t="str">
        <x:v>In Progress</x:v>
      </x:c>
      <x:c r="I148" s="111" t="str">
        <x:v>UI Prototype</x:v>
      </x:c>
      <x:c r="J148" s="111" t="str">
        <x:v>Medium</x:v>
      </x:c>
      <x:c r="K148" s="111" t="str">
        <x:v>Engineering</x:v>
      </x:c>
      <x:c r="L148" s="111" t="str"/>
      <x:c r="M148" s="111" t="str">
        <x:v>Close the remaining gap: TypeScript API/contracts/database foundations now cover auth, protected Settings, creator applications, and the dormant review seam; frontend conversion remains incremental.</x:v>
      </x:c>
      <x:c r="N148" s="112"/>
      <x:c r="O148" s="111" t="str"/>
      <x:c r="P148" s="112" t="n">
        <x:v>46250.666666666664</x:v>
      </x:c>
      <x:c r="Q148" s="111" t="str">
        <x:v>Keep the current web prototype in JavaScript initially; write new API/database/contracts in TypeScript and migrate frontend gradually.</x:v>
      </x:c>
      <x:c r="R148" s="111" t="str">
        <x:v>TypeScript API/contracts/database foundations now cover auth, protected Settings, creator applications, and the dormant review seam; frontend conversion remains incremental.</x:v>
      </x:c>
      <x:c r="S148" s="111" t="str">
        <x:v>Preserved Master Tracker row 161; legacy status: 🔄 In Progress</x:v>
      </x:c>
    </x:row>
    <x:row r="149" ht="46" customHeight="1">
      <x:c r="A149" s="111" t="str">
        <x:v>LEG-MT-162</x:v>
      </x:c>
      <x:c r="B149" s="111" t="str">
        <x:v>P00</x:v>
      </x:c>
      <x:c r="C149" s="111" t="str">
        <x:v>Baseline, tracker, and scope control</x:v>
      </x:c>
      <x:c r="D149" s="111" t="str">
        <x:v>P04</x:v>
      </x:c>
      <x:c r="E149" s="111" t="str">
        <x:v>Legacy-mapped task</x:v>
      </x:c>
      <x:c r="F149" s="111" t="str">
        <x:v>Baseline, tracker, and scope control</x:v>
      </x:c>
      <x:c r="G149" s="111" t="str">
        <x:v>Replace prototype contact addresses</x:v>
      </x:c>
      <x:c r="H149" s="111" t="str">
        <x:v>Done</x:v>
      </x:c>
      <x:c r="I149" s="111" t="str">
        <x:v>N/A</x:v>
      </x:c>
      <x:c r="J149" s="111" t="str">
        <x:v>High</x:v>
      </x:c>
      <x:c r="K149" s="111" t="str">
        <x:v>Engineering</x:v>
      </x:c>
      <x:c r="L149" s="111" t="str">
        <x:v>Counsel / founder decision</x:v>
      </x:c>
      <x:c r="M149" s="111" t="str">
        <x:v>Publish truthful prototype cleanup with the next approved website release. Final legal/contact copy follows counsel approval and operational proof.</x:v>
      </x:c>
      <x:c r="N149" s="112"/>
      <x:c r="O149" s="111" t="str">
        <x:v>https://github.com/QK-Connoisseur/PDoki/commit/56cb0adaffa4896aa9d54257b4eecfe18804bb54</x:v>
      </x:c>
      <x:c r="P149" s="112" t="n">
        <x:v>46271.666666666664</x:v>
      </x:c>
      <x:c r="Q149" s="111" t="str">
        <x:v>Replace unconfigured production-looking emails with .example sample addresses until real domains and mailboxes are operational.</x:v>
      </x:c>
      <x:c r="R149" s="111" t="str">
        <x:v>Prototype legal claims and unconfigured production-looking contacts corrected and pushed to dev in 56cb0ad. Final CI/main publication evidence is in HANDOFF.md. A source merge does not deploy the website or establish final policies.</x:v>
      </x:c>
      <x:c r="S149" s="111" t="str">
        <x:v>Preserved Master Tracker row 162; legacy status: 📋 Not Started</x:v>
      </x:c>
    </x:row>
    <x:row r="150" ht="46" customHeight="1">
      <x:c r="A150" s="111" t="str">
        <x:v>LEG-MT-163</x:v>
      </x:c>
      <x:c r="B150" s="111" t="str">
        <x:v>P14</x:v>
      </x:c>
      <x:c r="C150" s="111" t="str">
        <x:v>QA, security, private beta, and launch</x:v>
      </x:c>
      <x:c r="D150" s="111" t="str">
        <x:v>P04</x:v>
      </x:c>
      <x:c r="E150" s="111" t="str">
        <x:v>Legacy-mapped task</x:v>
      </x:c>
      <x:c r="F150" s="111" t="str">
        <x:v>Quality, beta &amp; launch readiness</x:v>
      </x:c>
      <x:c r="G150" s="111" t="str">
        <x:v>Prepare public-member / controlled-creator beta</x:v>
      </x:c>
      <x:c r="H150" s="111" t="str">
        <x:v>In Progress</x:v>
      </x:c>
      <x:c r="I150" s="111" t="str">
        <x:v>Decision Locked</x:v>
      </x:c>
      <x:c r="J150" s="111" t="str">
        <x:v>High</x:v>
      </x:c>
      <x:c r="K150" s="111" t="str">
        <x:v>Founder</x:v>
      </x:c>
      <x:c r="L150" s="111" t="str">
        <x:v>Founder + counsel/provider</x:v>
      </x:c>
      <x:c r="M150" s="111" t="str">
        <x:v>Close the remaining gap: Public member registration exists, while creator applications remain PENDING and identity NOT_STARTED.</x:v>
      </x:c>
      <x:c r="N150" s="112"/>
      <x:c r="O150" s="111" t="str"/>
      <x:c r="P150" s="112" t="n">
        <x:v>46250.666666666664</x:v>
      </x:c>
      <x:c r="Q150" s="111" t="str">
        <x:v>Allow public member registration when safe while onboarding creators through verification and approval controls.</x:v>
      </x:c>
      <x:c r="R150" s="111" t="str">
        <x:v>Public member registration exists, while creator applications remain PENDING and identity NOT_STARTED. No approval, role promotion, identity/tax/banking intake, deployed reviewer workflow, or creator publishing gate exists; controlled beta readiness remains incomplete.</x:v>
      </x:c>
      <x:c r="S150" s="111" t="str">
        <x:v>Preserved Master Tracker row 163; legacy status: 🔄 In Progress</x:v>
      </x:c>
    </x:row>
    <x:row r="151" ht="46" customHeight="1">
      <x:c r="A151" s="111" t="str">
        <x:v>LEG-MT-164</x:v>
      </x:c>
      <x:c r="B151" s="111" t="str">
        <x:v>P06</x:v>
      </x:c>
      <x:c r="C151" s="111" t="str">
        <x:v>Payments, subscriptions, tipping, and PPV</x:v>
      </x:c>
      <x:c r="D151" s="111" t="str"/>
      <x:c r="E151" s="111" t="str">
        <x:v>Legacy-mapped task</x:v>
      </x:c>
      <x:c r="F151" s="111" t="str">
        <x:v>Payments &amp; entitlements</x:v>
      </x:c>
      <x:c r="G151" s="111" t="str">
        <x:v>Confirm CCBill → Epoch cascade</x:v>
      </x:c>
      <x:c r="H151" s="111" t="str">
        <x:v>Not Started</x:v>
      </x:c>
      <x:c r="I151" s="111" t="str">
        <x:v>N/A</x:v>
      </x:c>
      <x:c r="J151" s="111" t="str">
        <x:v>High</x:v>
      </x:c>
      <x:c r="K151" s="111" t="str">
        <x:v>Founder</x:v>
      </x:c>
      <x:c r="L151" s="111" t="str"/>
      <x:c r="M151" s="111" t="str">
        <x:v>Obtain written account-specific technical and commercial confirmation from CCBill and Epoch before any fallback implementation.</x:v>
      </x:c>
      <x:c r="N151" s="112"/>
      <x:c r="O151" s="111" t="str"/>
      <x:c r="P151" s="112" t="n">
        <x:v>46275.666666666664</x:v>
      </x:c>
      <x:c r="Q151" s="111" t="str">
        <x:v>Obtain written technical and commercial confirmation before implementing fallback payment routing.</x:v>
      </x:c>
      <x:c r="R151" s="111" t="str">
        <x:v>CCBill Sales has replied and site preparation is underway. Epoch outreach and cascade confirmation remain pending.</x:v>
      </x:c>
      <x:c r="S151" s="111" t="str">
        <x:v>Preserved Master Tracker row 164; legacy status: 📋 Not Started</x:v>
      </x:c>
    </x:row>
    <x:row r="152" ht="46" customHeight="1">
      <x:c r="A152" s="111" t="str">
        <x:v>P00-T03</x:v>
      </x:c>
      <x:c r="B152" s="111" t="str">
        <x:v>P00</x:v>
      </x:c>
      <x:c r="C152" s="111" t="str">
        <x:v>Baseline, tracker, and scope control</x:v>
      </x:c>
      <x:c r="D152" s="111" t="str"/>
      <x:c r="E152" s="111" t="str">
        <x:v>PLAN task</x:v>
      </x:c>
      <x:c r="F152" s="111" t="str">
        <x:v>Tracker &amp; scope control</x:v>
      </x:c>
      <x:c r="G152" s="111" t="str">
        <x:v>Reclassify the tracker to PLAN.md Phases 0–14</x:v>
      </x:c>
      <x:c r="H152" s="111" t="str">
        <x:v>Done</x:v>
      </x:c>
      <x:c r="I152" s="111" t="str">
        <x:v>N/A</x:v>
      </x:c>
      <x:c r="J152" s="111" t="str">
        <x:v>High</x:v>
      </x:c>
      <x:c r="K152" s="111" t="str">
        <x:v>Engineering</x:v>
      </x:c>
      <x:c r="L152" s="111"/>
      <x:c r="M152" s="111" t="str">
        <x:v>Use the PLAN-aligned tracker as the operating view and keep owners, dates, evidence, and daily debriefs current.</x:v>
      </x:c>
      <x:c r="N152" s="112"/>
      <x:c r="O152" s="111" t="str">
        <x:v>https://github.com/QK-Connoisseur/PDoki/pull/13</x:v>
      </x:c>
      <x:c r="P152" s="112" t="n">
        <x:v>46255.666666666664</x:v>
      </x:c>
      <x:c r="Q152" s="111" t="str">
        <x:v>Make PLAN.md the phase source of truth and separate workflow from maturity.</x:v>
      </x:c>
      <x:c r="R152" s="111" t="str">
        <x:v>Published through PR #13. No legacy task, note, backlog item, assumption, or expense value was deleted.</x:v>
      </x:c>
      <x:c r="S152" s="111" t="str">
        <x:v>PLAN.md Phase 0 task 3</x:v>
      </x:c>
    </x:row>
    <x:row r="153" ht="46" customHeight="1">
      <x:c r="A153" s="111" t="str">
        <x:v>P02-T11</x:v>
      </x:c>
      <x:c r="B153" s="111" t="str">
        <x:v>P02</x:v>
      </x:c>
      <x:c r="C153" s="111" t="str">
        <x:v>Backend and database foundation</x:v>
      </x:c>
      <x:c r="D153" s="111" t="str"/>
      <x:c r="E153" s="111" t="str">
        <x:v>PLAN task</x:v>
      </x:c>
      <x:c r="F153" s="111" t="str">
        <x:v>Durable async work</x:v>
      </x:c>
      <x:c r="G153" s="111" t="str">
        <x:v>Add a background-job queue</x:v>
      </x:c>
      <x:c r="H153" s="111" t="str">
        <x:v>Done</x:v>
      </x:c>
      <x:c r="I153" s="111" t="str">
        <x:v>Backend Implemented</x:v>
      </x:c>
      <x:c r="J153" s="111" t="str">
        <x:v>High</x:v>
      </x:c>
      <x:c r="K153" s="111" t="str">
        <x:v>Engineering</x:v>
      </x:c>
      <x:c r="L153" s="111"/>
      <x:c r="M153" s="111" t="str">
        <x:v>Keep the foundation canary-only while deployment, monitoring, Redis/shared throttling, general idempotency, and product-flow migrations remain separately gated.</x:v>
      </x:c>
      <x:c r="N153" s="112"/>
      <x:c r="O153" s="111" t="str">
        <x:v>https://github.com/QK-Connoisseur/PDoki/pull/13</x:v>
      </x:c>
      <x:c r="P153" s="112" t="n">
        <x:v>46255.666666666664</x:v>
      </x:c>
      <x:c r="Q153" s="111" t="str">
        <x:v>Production-shaped durable job migration, separate worker process, leases, retry, terminal handling, telemetry, and a fixed canary.</x:v>
      </x:c>
      <x:c r="R153" s="111" t="str">
        <x:v>Published through PR #13 as a foundation only; no product flow, provider, deployment, or live credentials were added.</x:v>
      </x:c>
      <x:c r="S153" s="111" t="str">
        <x:v>PLAN.md Phase 2 task 11</x:v>
      </x:c>
    </x:row>
    <x:row r="154" ht="46" customHeight="1">
      <x:c r="A154" s="111" t="str">
        <x:v>P02-T12A</x:v>
      </x:c>
      <x:c r="B154" s="111" t="str">
        <x:v>P02</x:v>
      </x:c>
      <x:c r="C154" s="111" t="str">
        <x:v>Backend and database foundation</x:v>
      </x:c>
      <x:c r="D154" s="111" t="str">
        <x:v>P14</x:v>
      </x:c>
      <x:c r="E154" s="111" t="str">
        <x:v>Supplemental</x:v>
      </x:c>
      <x:c r="F154" s="111" t="str">
        <x:v>Durable async work</x:v>
      </x:c>
      <x:c r="G154" s="111" t="str">
        <x:v>Prove canary-specific idempotency and lease fencing</x:v>
      </x:c>
      <x:c r="H154" s="111" t="str">
        <x:v>Done</x:v>
      </x:c>
      <x:c r="I154" s="111" t="str">
        <x:v>Backend Implemented</x:v>
      </x:c>
      <x:c r="J154" s="111" t="str">
        <x:v>High</x:v>
      </x:c>
      <x:c r="K154" s="111" t="str">
        <x:v>Engineering</x:v>
      </x:c>
      <x:c r="L154" s="111"/>
      <x:c r="M154" s="111" t="str">
        <x:v>Treat this as canary-specific evidence only; design the reusable consequential-operation idempotency framework in a separately approved slice.</x:v>
      </x:c>
      <x:c r="N154" s="112"/>
      <x:c r="O154" s="111" t="str">
        <x:v>https://github.com/QK-Connoisseur/PDoki/pull/13</x:v>
      </x:c>
      <x:c r="P154" s="112" t="n">
        <x:v>46255.666666666664</x:v>
      </x:c>
      <x:c r="Q154" s="111" t="str">
        <x:v>Canary-specific idempotency proof supporting the durable worker foundation.</x:v>
      </x:c>
      <x:c r="R154" s="111" t="str">
        <x:v>Published through PR #13. This does not implement the reusable product-wide idempotency framework.</x:v>
      </x:c>
      <x:c r="S154" s="111" t="str">
        <x:v>Supports PLAN.md Phase 2 task 12</x:v>
      </x:c>
    </x:row>
    <x:row r="155" ht="46" customHeight="1">
      <x:c r="A155" s="111" t="str">
        <x:v>P02-T12B</x:v>
      </x:c>
      <x:c r="B155" s="111" t="str">
        <x:v>P02</x:v>
      </x:c>
      <x:c r="C155" s="111" t="str">
        <x:v>Backend and database foundation</x:v>
      </x:c>
      <x:c r="D155" s="111" t="str"/>
      <x:c r="E155" s="111" t="str">
        <x:v>PLAN task</x:v>
      </x:c>
      <x:c r="F155" s="111" t="str">
        <x:v>Idempotency</x:v>
      </x:c>
      <x:c r="G155" s="111" t="str">
        <x:v>Add a reusable general idempotency framework</x:v>
      </x:c>
      <x:c r="H155" s="111" t="str">
        <x:v>Not Started</x:v>
      </x:c>
      <x:c r="I155" s="111" t="str">
        <x:v>Decision Locked</x:v>
      </x:c>
      <x:c r="J155" s="111" t="str">
        <x:v>High</x:v>
      </x:c>
      <x:c r="K155" s="111" t="str">
        <x:v>Engineering</x:v>
      </x:c>
      <x:c r="L155" s="111" t="str">
        <x:v>Separate implementation approval</x:v>
      </x:c>
      <x:c r="M155" s="111" t="str">
        <x:v>Define the first consequential product operation only after the worker foundation is reviewed and merged.</x:v>
      </x:c>
      <x:c r="N155" s="112"/>
      <x:c r="O155" s="111" t="str">
        <x:v>https://github.com/QK-Connoisseur/PDoki/blob/dev/docs/architecture/phase2-async-work-throttling-idempotency.md</x:v>
      </x:c>
      <x:c r="P155" s="112" t="n">
        <x:v>46255.666666666664</x:v>
      </x:c>
      <x:c r="Q155" s="111" t="str">
        <x:v>PostgreSQL-backed durable idempotency with explicit in-progress/completed recovery semantics.</x:v>
      </x:c>
      <x:c r="R155" s="111" t="str">
        <x:v>PR #13 proves only a non-secret canary and does not authorize product-flow migration.</x:v>
      </x:c>
      <x:c r="S155" s="111" t="str">
        <x:v>PLAN.md Phase 2 task 12</x:v>
      </x:c>
    </x:row>
    <x:row r="156" ht="46" customHeight="1">
      <x:c r="A156" s="111" t="str">
        <x:v>P02-T10R</x:v>
      </x:c>
      <x:c r="B156" s="111" t="str">
        <x:v>P02</x:v>
      </x:c>
      <x:c r="C156" s="111" t="str">
        <x:v>Backend and database foundation</x:v>
      </x:c>
      <x:c r="D156" s="111" t="str">
        <x:v>P03</x:v>
      </x:c>
      <x:c r="E156" s="111" t="str">
        <x:v>Supplemental</x:v>
      </x:c>
      <x:c r="F156" s="111" t="str">
        <x:v>Shared throttling</x:v>
      </x:c>
      <x:c r="G156" s="111" t="str">
        <x:v>Implement Redis-backed shared throttling with bounded outage behavior</x:v>
      </x:c>
      <x:c r="H156" s="111" t="str">
        <x:v>Not Started</x:v>
      </x:c>
      <x:c r="I156" s="111" t="str">
        <x:v>Decision Locked</x:v>
      </x:c>
      <x:c r="J156" s="111" t="str">
        <x:v>High</x:v>
      </x:c>
      <x:c r="K156" s="111" t="str">
        <x:v>Engineering</x:v>
      </x:c>
      <x:c r="L156" s="111" t="str">
        <x:v>Separate implementation approval + topology decision</x:v>
      </x:c>
      <x:c r="M156" s="111" t="str">
        <x:v>Define exact route thresholds and the approved outage fallback before adding Redis.</x:v>
      </x:c>
      <x:c r="N156" s="112"/>
      <x:c r="O156" s="111" t="str">
        <x:v>https://github.com/QK-Connoisseur/PDoki/blob/dev/docs/architecture/phase2-async-work-throttling-idempotency.md</x:v>
      </x:c>
      <x:c r="P156" s="112" t="n">
        <x:v>46255.666666666664</x:v>
      </x:c>
      <x:c r="Q156" s="111" t="str">
        <x:v>Redis is limited to shared throttling and ephemeral coordination; unlimited outage behavior is prohibited.</x:v>
      </x:c>
      <x:c r="R156" s="111" t="str">
        <x:v>No Redis dependency or shared store is included in PR #13.</x:v>
      </x:c>
      <x:c r="S156" s="111" t="str">
        <x:v>Completes PLAN.md Phase 2 task 10 across replicas</x:v>
      </x:c>
    </x:row>
    <x:row r="157" ht="46" customHeight="1">
      <x:c r="A157" s="111" t="str">
        <x:v>P02-NET-001</x:v>
      </x:c>
      <x:c r="B157" s="111" t="str">
        <x:v>P02</x:v>
      </x:c>
      <x:c r="C157" s="111" t="str">
        <x:v>Backend and database foundation</x:v>
      </x:c>
      <x:c r="D157" s="111" t="str"/>
      <x:c r="E157" s="111" t="str">
        <x:v>Supplemental</x:v>
      </x:c>
      <x:c r="F157" s="111" t="str">
        <x:v>Local security</x:v>
      </x:c>
      <x:c r="G157" s="111" t="str">
        <x:v>Bind local PostgreSQL host exposure to IPv4 loopback</x:v>
      </x:c>
      <x:c r="H157" s="111" t="str">
        <x:v>Done</x:v>
      </x:c>
      <x:c r="I157" s="111" t="str">
        <x:v>Backend Implemented</x:v>
      </x:c>
      <x:c r="J157" s="111" t="str">
        <x:v>High</x:v>
      </x:c>
      <x:c r="K157" s="111" t="str">
        <x:v>Engineering</x:v>
      </x:c>
      <x:c r="L157" s="111"/>
      <x:c r="M157" s="111" t="str">
        <x:v>Preserve the 127.0.0.1-only local default; deployed network controls and restricted credentials remain separate gates.</x:v>
      </x:c>
      <x:c r="N157" s="112"/>
      <x:c r="O157" s="111" t="str">
        <x:v>https://github.com/QK-Connoisseur/PDoki/pull/13</x:v>
      </x:c>
      <x:c r="P157" s="112" t="n">
        <x:v>46255.666666666664</x:v>
      </x:c>
      <x:c r="Q157" s="111" t="str">
        <x:v>Reduce LAN exposure of the local static-development database credential.</x:v>
      </x:c>
      <x:c r="R157" s="111" t="str">
        <x:v>Published through PR #13 as local-only hardening; no staging or production configuration changed.</x:v>
      </x:c>
      <x:c r="S157" s="111" t="str">
        <x:v>PR #13 supplemental hardening</x:v>
      </x:c>
    </x:row>
    <x:row r="158" ht="46" customHeight="1">
      <x:c r="A158" s="111" t="str">
        <x:v>P04-S1</x:v>
      </x:c>
      <x:c r="B158" s="111" t="str">
        <x:v>P04</x:v>
      </x:c>
      <x:c r="C158" s="111" t="str">
        <x:v>Legal, trust, and creator onboarding</x:v>
      </x:c>
      <x:c r="D158" s="111" t="str">
        <x:v>P03</x:v>
      </x:c>
      <x:c r="E158" s="111" t="str">
        <x:v>Published slice</x:v>
      </x:c>
      <x:c r="F158" s="111" t="str">
        <x:v>Creator onboarding &amp; trust</x:v>
      </x:c>
      <x:c r="G158" s="111" t="str">
        <x:v>Publish the creator-application submission foundation</x:v>
      </x:c>
      <x:c r="H158" s="111" t="str">
        <x:v>Done</x:v>
      </x:c>
      <x:c r="I158" s="111" t="str">
        <x:v>Integrated</x:v>
      </x:c>
      <x:c r="J158" s="111" t="str">
        <x:v>High</x:v>
      </x:c>
      <x:c r="K158" s="111" t="str">
        <x:v>Engineering</x:v>
      </x:c>
      <x:c r="L158" s="111" t="str"/>
      <x:c r="M158" s="111" t="str">
        <x:v>Preserve the PENDING-only, no-role-promotion boundary until later trust and legal gates are approved.</x:v>
      </x:c>
      <x:c r="N158" s="112"/>
      <x:c r="O158" s="111" t="str">
        <x:v>https://github.com/QK-Connoisseur/PDoki/commit/ce6c9e4</x:v>
      </x:c>
      <x:c r="P158" s="112" t="n">
        <x:v>46255.666666666664</x:v>
      </x:c>
      <x:c r="Q158" s="111" t="str">
        <x:v>Verified members can submit one persisted creator application with versioned prototype acceptances recorded atomically.</x:v>
      </x:c>
      <x:c r="R158" s="111" t="str">
        <x:v>Published Phase 4 Slice 1; no identity files, approval, creator role promotion, or Dashboard access.</x:v>
      </x:c>
      <x:c r="S158" s="111" t="str">
        <x:v>PLAN.md Phase 4 published foundation</x:v>
      </x:c>
    </x:row>
    <x:row r="159" ht="46" customHeight="1">
      <x:c r="A159" s="111" t="str">
        <x:v>P04-S2</x:v>
      </x:c>
      <x:c r="B159" s="111" t="str">
        <x:v>P04</x:v>
      </x:c>
      <x:c r="C159" s="111" t="str">
        <x:v>Legal, trust, and creator onboarding</x:v>
      </x:c>
      <x:c r="D159" s="111" t="str">
        <x:v>P11</x:v>
      </x:c>
      <x:c r="E159" s="111" t="str">
        <x:v>Published slice</x:v>
      </x:c>
      <x:c r="F159" s="111" t="str">
        <x:v>Private operations &amp; moderation</x:v>
      </x:c>
      <x:c r="G159" s="111" t="str">
        <x:v>Publish the dormant non-approval review-transition foundation</x:v>
      </x:c>
      <x:c r="H159" s="111" t="str">
        <x:v>Done</x:v>
      </x:c>
      <x:c r="I159" s="111" t="str">
        <x:v>Backend Implemented</x:v>
      </x:c>
      <x:c r="J159" s="111" t="str">
        <x:v>High</x:v>
      </x:c>
      <x:c r="K159" s="111" t="str">
        <x:v>Engineering</x:v>
      </x:c>
      <x:c r="L159" s="111" t="str"/>
      <x:c r="M159" s="111" t="str">
        <x:v>Keep the router unmounted and APPROVED/role-promotion behavior absent until the documented activation gates are satisfied.</x:v>
      </x:c>
      <x:c r="N159" s="112"/>
      <x:c r="O159" s="111" t="str">
        <x:v>https://github.com/QK-Connoisseur/PDoki/pull/1</x:v>
      </x:c>
      <x:c r="P159" s="112" t="n">
        <x:v>46255.666666666664</x:v>
      </x:c>
      <x:c r="Q159" s="111" t="str">
        <x:v>Persist strict non-approval review transitions and immutable reviewer evidence in one transaction.</x:v>
      </x:c>
      <x:c r="R159" s="111" t="str">
        <x:v>Published Phase 4 Slice 2 foundation; deliberately not an operational admin workflow.</x:v>
      </x:c>
      <x:c r="S159" s="111" t="str">
        <x:v>PLAN.md Phase 4 published foundation</x:v>
      </x:c>
    </x:row>
    <x:row r="160" ht="46" customHeight="1">
      <x:c r="A160" s="111" t="str">
        <x:v>P07-E2E-001</x:v>
      </x:c>
      <x:c r="B160" s="111" t="str">
        <x:v>P07</x:v>
      </x:c>
      <x:c r="C160" s="111" t="str">
        <x:v>Core end-to-end vertical slice</x:v>
      </x:c>
      <x:c r="D160" s="111" t="str">
        <x:v>P04, P05, P06</x:v>
      </x:c>
      <x:c r="E160" s="111" t="str">
        <x:v>PLAN phase gate</x:v>
      </x:c>
      <x:c r="F160" s="111" t="str">
        <x:v>Core vertical slice</x:v>
      </x:c>
      <x:c r="G160" s="111" t="str">
        <x:v>Complete the member-to-creator end-to-end product flow</x:v>
      </x:c>
      <x:c r="H160" s="111" t="str">
        <x:v>Blocked</x:v>
      </x:c>
      <x:c r="I160" s="111" t="str">
        <x:v>N/A</x:v>
      </x:c>
      <x:c r="J160" s="111" t="str">
        <x:v>High</x:v>
      </x:c>
      <x:c r="K160" s="111" t="str">
        <x:v>Engineering</x:v>
      </x:c>
      <x:c r="L160" s="111" t="str">
        <x:v>Phase 4–6 dependencies</x:v>
      </x:c>
      <x:c r="M160" s="111" t="str">
        <x:v>Continue controlled test slices. Real beta needs applicable creator/content/access/operations controls. Paid flows also need processor evidence and reconciliation.</x:v>
      </x:c>
      <x:c r="N160" s="112"/>
      <x:c r="O160" s="111" t="str">
        <x:v>https://github.com/QK-Connoisseur/PDoki/blob/dev/PLAN.md#11-phase-7--core-end-to-end-vertical-slice</x:v>
      </x:c>
      <x:c r="P160" s="112" t="n">
        <x:v>46274.666666666664</x:v>
      </x:c>
      <x:c r="Q160" s="111" t="str">
        <x:v>Member discovers an eligible creator and accesses authorized content with auditable records. Purchases and tips follow the beta payment method, still unresolved.</x:v>
      </x:c>
      <x:c r="R160" s="111" t="str">
        <x:v>Phase 7 remains incomplete. Payment, entitlement, earnings and refund controls remain necessary for paid beta flows.</x:v>
      </x:c>
      <x:c r="S160" s="111" t="str">
        <x:v>PLAN.md Phase 7 exit gate</x:v>
      </x:c>
    </x:row>
    <x:row r="161" ht="46" customHeight="1">
      <x:c r="A161" s="111" t="str">
        <x:v>P14-QA-001</x:v>
      </x:c>
      <x:c r="B161" s="111" t="str">
        <x:v>P14</x:v>
      </x:c>
      <x:c r="C161" s="111" t="str">
        <x:v>QA, security, private beta, and launch</x:v>
      </x:c>
      <x:c r="D161" s="111" t="str">
        <x:v>P08</x:v>
      </x:c>
      <x:c r="E161" s="111" t="str">
        <x:v>Supplemental</x:v>
      </x:c>
      <x:c r="F161" s="111" t="str">
        <x:v>Deterministic E2E</x:v>
      </x:c>
      <x:c r="G161" s="111" t="str">
        <x:v>Make promotion material E2E independent of calendar date</x:v>
      </x:c>
      <x:c r="H161" s="111" t="str">
        <x:v>Done</x:v>
      </x:c>
      <x:c r="I161" s="111" t="str">
        <x:v>Integrated</x:v>
      </x:c>
      <x:c r="J161" s="111" t="str">
        <x:v>Medium</x:v>
      </x:c>
      <x:c r="K161" s="111" t="str">
        <x:v>Engineering</x:v>
      </x:c>
      <x:c r="L161" s="111"/>
      <x:c r="M161" s="111" t="str">
        <x:v>Keep calendar-dependent fixtures under an explicit test clock and retain the real-stack Playwright regression.</x:v>
      </x:c>
      <x:c r="N161" s="112"/>
      <x:c r="O161" s="111" t="str">
        <x:v>https://github.com/QK-Connoisseur/PDoki/pull/13</x:v>
      </x:c>
      <x:c r="P161" s="112" t="n">
        <x:v>46255.666666666664</x:v>
      </x:c>
      <x:c r="Q161" s="111" t="str">
        <x:v>Freeze the test clock without changing product or fixture behavior.</x:v>
      </x:c>
      <x:c r="R161" s="111" t="str">
        <x:v>Published through PR #13 after exact-head and post-merge CI passed; no product or fixture behavior changed.</x:v>
      </x:c>
      <x:c r="S161" s="111" t="str">
        <x:v>PR #13 CI repair</x:v>
      </x:c>
    </x:row>
    <x:row r="162" ht="46" customHeight="1">
      <x:c r="A162" s="170" t="str">
        <x:v>P04-OPS-001</x:v>
      </x:c>
      <x:c r="B162" s="170" t="str">
        <x:v>P04</x:v>
      </x:c>
      <x:c r="C162" s="170" t="str">
        <x:v>Legal, trust, and creator onboarding</x:v>
      </x:c>
      <x:c r="D162" s="170" t="str">
        <x:v>P11</x:v>
      </x:c>
      <x:c r="E162" s="170" t="str">
        <x:v>Supplemental</x:v>
      </x:c>
      <x:c r="F162" s="170" t="str">
        <x:v>Private operations &amp; moderation</x:v>
      </x:c>
      <x:c r="G162" s="170" t="str">
        <x:v>Verify signed private-operations assertions</x:v>
      </x:c>
      <x:c r="H162" s="170" t="str">
        <x:v>Done</x:v>
      </x:c>
      <x:c r="I162" s="170" t="str">
        <x:v>Backend Implemented</x:v>
      </x:c>
      <x:c r="J162" s="170" t="str">
        <x:v>Critical</x:v>
      </x:c>
      <x:c r="K162" s="170" t="str">
        <x:v>Engineering</x:v>
      </x:c>
      <x:c r="L162" s="170"/>
      <x:c r="M162" s="170" t="str">
        <x:v>Preserve the dormant boundary. Additional operations work is parked; production activation requires its applicable controls.</x:v>
      </x:c>
      <x:c r="N162" s="170"/>
      <x:c r="O162" s="170" t="str">
        <x:v>https://github.com/QK-Connoisseur/PDoki/pull/15</x:v>
      </x:c>
      <x:c r="P162" s="171" t="n">
        <x:v>46271.666666666664</x:v>
      </x:c>
      <x:c r="Q162" s="170" t="str">
        <x:v>Provider-neutral signed assertion verification for the dormant private-operations boundary.</x:v>
      </x:c>
      <x:c r="R162" s="170" t="str">
        <x:v>Slice 3 merged through PR #15. Local foundation completed; public router remains unmounted. No operational approval, role promotion, identity collection or deployment.</x:v>
      </x:c>
      <x:c r="S162" s="170" t="str">
        <x:v>Supports PLAN Phase 4 and the Phase 11 private-operations dependency.</x:v>
      </x:c>
    </x:row>
    <x:row r="163" ht="46" customHeight="1">
      <x:c r="A163" s="170" t="str">
        <x:v>P04-OPS-002</x:v>
      </x:c>
      <x:c r="B163" s="170" t="str">
        <x:v>P04</x:v>
      </x:c>
      <x:c r="C163" s="170" t="str">
        <x:v>Legal, trust, and creator onboarding</x:v>
      </x:c>
      <x:c r="D163" s="170" t="str">
        <x:v>P11</x:v>
      </x:c>
      <x:c r="E163" s="170" t="str">
        <x:v>Supplemental</x:v>
      </x:c>
      <x:c r="F163" s="170" t="str">
        <x:v>Private operations &amp; moderation</x:v>
      </x:c>
      <x:c r="G163" s="170" t="str">
        <x:v>Enforce explicit operator provisioning and transaction-time authorization</x:v>
      </x:c>
      <x:c r="H163" s="170" t="str">
        <x:v>Done</x:v>
      </x:c>
      <x:c r="I163" s="170" t="str">
        <x:v>Backend Implemented</x:v>
      </x:c>
      <x:c r="J163" s="170" t="str">
        <x:v>Critical</x:v>
      </x:c>
      <x:c r="K163" s="170" t="str">
        <x:v>Engineering</x:v>
      </x:c>
      <x:c r="L163" s="170"/>
      <x:c r="M163" s="170" t="str">
        <x:v>Preserve the dormant boundary. Additional operations work is parked; production activation requires its applicable controls.</x:v>
      </x:c>
      <x:c r="N163" s="170"/>
      <x:c r="O163" s="170" t="str">
        <x:v>https://github.com/QK-Connoisseur/PDoki/pull/15</x:v>
      </x:c>
      <x:c r="P163" s="171" t="n">
        <x:v>46271.666666666664</x:v>
      </x:c>
      <x:c r="Q163" s="170" t="str">
        <x:v>Database-owned operator identity and permission evidence for dormant non-approval reviews.</x:v>
      </x:c>
      <x:c r="R163" s="170" t="str">
        <x:v>Slice 3 merged through PR #15. Local foundation completed; public router remains unmounted. No operational approval, role promotion, identity collection or deployment.</x:v>
      </x:c>
      <x:c r="S163" s="170" t="str">
        <x:v>Supports PLAN Phase 4 and the Phase 11 private-operations dependency.</x:v>
      </x:c>
    </x:row>
    <x:row r="164" ht="46" customHeight="1">
      <x:c r="A164" s="170" t="str">
        <x:v>P04-OPS-003</x:v>
      </x:c>
      <x:c r="B164" s="170" t="str">
        <x:v>P04</x:v>
      </x:c>
      <x:c r="C164" s="170" t="str">
        <x:v>Legal, trust, and creator onboarding</x:v>
      </x:c>
      <x:c r="D164" s="170" t="str">
        <x:v>P11</x:v>
      </x:c>
      <x:c r="E164" s="170" t="str">
        <x:v>Supplemental</x:v>
      </x:c>
      <x:c r="F164" s="170" t="str">
        <x:v>Private operations &amp; moderation</x:v>
      </x:c>
      <x:c r="G164" s="170" t="str">
        <x:v>Verify the dormant private request-integrity boundary</x:v>
      </x:c>
      <x:c r="H164" s="170" t="str">
        <x:v>Done</x:v>
      </x:c>
      <x:c r="I164" s="170" t="str">
        <x:v>Backend Implemented</x:v>
      </x:c>
      <x:c r="J164" s="170" t="str">
        <x:v>High</x:v>
      </x:c>
      <x:c r="K164" s="170" t="str">
        <x:v>Engineering</x:v>
      </x:c>
      <x:c r="L164" s="170"/>
      <x:c r="M164" s="170" t="str">
        <x:v>Preserve the dormant boundary. Additional operations work is parked; production activation requires its applicable controls.</x:v>
      </x:c>
      <x:c r="N164" s="170"/>
      <x:c r="O164" s="170" t="str">
        <x:v>https://github.com/QK-Connoisseur/PDoki/pull/15</x:v>
      </x:c>
      <x:c r="P164" s="171" t="n">
        <x:v>46271.666666666664</x:v>
      </x:c>
      <x:c r="Q164" s="170" t="str">
        <x:v>Test-only request-integrity composition and safe audit evidence for the unmounted operations router.</x:v>
      </x:c>
      <x:c r="R164" s="170" t="str">
        <x:v>Slice 3 merged through PR #15. Local foundation completed; public router remains unmounted. No operational approval, role promotion, identity collection or deployment.</x:v>
      </x:c>
      <x:c r="S164" s="170" t="str">
        <x:v>Supports PLAN Phase 4 and the Phase 11 private-operations dependency.</x:v>
      </x:c>
    </x:row>
  </x:sheetData>
  <x:mergeCells>
    <x:mergeCell ref="A1:S1"/>
    <x:mergeCell ref="A2:S2"/>
  </x:mergeCells>
  <x:conditionalFormatting sqref="H4:H164">
    <x:cfRule type="containsText" dxfId="40" priority="1" operator="containsText" text="Done"/>
    <x:cfRule type="containsText" dxfId="41" priority="2" operator="containsText" text="In Progress"/>
    <x:cfRule type="containsText" dxfId="42" priority="3" operator="containsText" text="In Review"/>
    <x:cfRule type="containsText" dxfId="43" priority="4" operator="containsText" text="Blocked"/>
    <x:cfRule type="containsText" dxfId="44" priority="5" operator="containsText" text="Not Started"/>
    <x:cfRule type="containsText" dxfId="45" priority="6" operator="containsText" text="Ready"/>
    <x:cfRule type="containsText" dxfId="46" priority="7" operator="containsText" text="Deferred"/>
  </x:conditionalFormatting>
  <x:dataValidations count="5">
    <x:dataValidation type="list" sqref="H4:H164">
      <x:formula1>"Not Started,Ready,In Progress,In Review,Blocked,Done,Deferred"</x:formula1>
    </x:dataValidation>
    <x:dataValidation type="list" sqref="I4:I164">
      <x:formula1>"Decision Locked,UI Prototype,Backend Implemented,Integrated,Production-Ready,N/A"</x:formula1>
    </x:dataValidation>
    <x:dataValidation type="list" sqref="J4:J164">
      <x:formula1>"Critical,High,Medium,Low"</x:formula1>
    </x:dataValidation>
    <x:dataValidation type="list" sqref="K4:K164">
      <x:formula1>"Founder,Engineering,Operations,Counsel,Unassigned"</x:formula1>
    </x:dataValidation>
    <x:dataValidation type="list" sqref="E4:E164">
      <x:formula1>"PLAN task,PLAN phase gate,Supplemental,Legacy-mapped task,Published slice,Decision,Exit criterion"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f51c6e063b43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31" hidden="0" customWidth="1"/>
    <x:col min="4" max="4" width="25" hidden="0" customWidth="1"/>
    <x:col min="5" max="5" width="36" hidden="0" customWidth="1"/>
    <x:col min="6" max="6" width="15" hidden="0" customWidth="1"/>
    <x:col min="7" max="7" width="15" hidden="0" customWidth="1"/>
    <x:col min="8" max="8" width="28" hidden="0" customWidth="1"/>
    <x:col min="9" max="9" width="42" hidden="0" customWidth="1"/>
    <x:col min="10" max="10" width="13" hidden="0" customWidth="1"/>
    <x:col min="11" max="11" width="42" hidden="0" customWidth="1"/>
    <x:col min="12" max="12" width="13" hidden="0" customWidth="1"/>
  </x:cols>
  <x:sheetData>
    <x:row r="1" ht="32" customHeight="1">
      <x:c r="A1" s="88" t="str">
        <x:v>🔎 Pumdoki Review &amp; Blocker Queue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24" customHeight="1">
      <x:c r="A2" s="92" t="str">
        <x:v>Focused view derived from Delivery Tracker. Update the canonical source row there; use this sheet for daily review and blocker triage.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</x:row>
    <x:row r="3" ht="34" customHeight="1">
      <x:c r="A3" s="98" t="str">
        <x:v>Work ID</x:v>
      </x:c>
      <x:c r="B3" s="98" t="str">
        <x:v>Phase</x:v>
      </x:c>
      <x:c r="C3" s="98" t="str">
        <x:v>PLAN Phase</x:v>
      </x:c>
      <x:c r="D3" s="98" t="str">
        <x:v>Workstream</x:v>
      </x:c>
      <x:c r="E3" s="98" t="str">
        <x:v>Work Item</x:v>
      </x:c>
      <x:c r="F3" s="98" t="str">
        <x:v>Workflow</x:v>
      </x:c>
      <x:c r="G3" s="98" t="str">
        <x:v>Owner</x:v>
      </x:c>
      <x:c r="H3" s="98" t="str">
        <x:v>Waiting On / Reviewer</x:v>
      </x:c>
      <x:c r="I3" s="98" t="str">
        <x:v>Next Action</x:v>
      </x:c>
      <x:c r="J3" s="98" t="str">
        <x:v>Next Check</x:v>
      </x:c>
      <x:c r="K3" s="98" t="str">
        <x:v>Evidence</x:v>
      </x:c>
      <x:c r="L3" s="98" t="str">
        <x:v>Updated</x:v>
      </x:c>
    </x:row>
    <x:row r="4" ht="54" customHeight="1">
      <x:c r="A4" s="109" t="str">
        <x:v>DEC-CCBILL</x:v>
      </x:c>
      <x:c r="B4" s="109" t="str">
        <x:v>P06</x:v>
      </x:c>
      <x:c r="C4" s="109" t="str">
        <x:v>Payments and payouts</x:v>
      </x:c>
      <x:c r="D4" s="109" t="str">
        <x:v>Cancelled clarification follow-up only</x:v>
      </x:c>
      <x:c r="E4" s="109" t="str">
        <x:v>Do not send this cancelled follow-up</x:v>
      </x:c>
      <x:c r="F4" s="109" t="str">
        <x:v>Deferred</x:v>
      </x:c>
      <x:c r="G4" s="109" t="str">
        <x:v>Founder</x:v>
      </x:c>
      <x:c r="H4" s="109"/>
      <x:c r="I4" s="109" t="str">
        <x:v>Deferred applies only to this cancelled clarification. CCBill Sales/site preparation is in progress; the current founder task remains local content-flow review. Account-specific approval and payment integration remain unresolved.</x:v>
      </x:c>
      <x:c r="J4" s="110"/>
      <x:c r="K4" s="109" t="str">
        <x:v>docs/product/initial-ccbill-inquiry.md</x:v>
      </x:c>
      <x:c r="L4" s="110" t="n">
        <x:v>46275.666666666664</x:v>
      </x:c>
    </x:row>
    <x:row r="5" ht="54" customHeight="1">
      <x:c r="A5" s="111" t="str">
        <x:v>DEC-LEGAL-UI-TRUTH</x:v>
      </x:c>
      <x:c r="B5" s="111" t="str">
        <x:v>P04</x:v>
      </x:c>
      <x:c r="C5" s="111" t="str">
        <x:v>Legal, trust, and creator onboarding</x:v>
      </x:c>
      <x:c r="D5" s="111" t="str">
        <x:v>Truthful prototype copy</x:v>
      </x:c>
      <x:c r="E5" s="111" t="str">
        <x:v>Release verified legal UI cleanup</x:v>
      </x:c>
      <x:c r="F5" s="111" t="str">
        <x:v>Deferred</x:v>
      </x:c>
      <x:c r="G5" s="111" t="str">
        <x:v>Engineering</x:v>
      </x:c>
      <x:c r="H5" s="111" t="str">
        <x:v>Approved website release</x:v>
      </x:c>
      <x:c r="I5" s="111" t="str">
        <x:v>Cleanup source is pushed to dev in 56cb0ad. Deploy in an approved website release; final counsel policies and actual processes remain future work. CI/main evidence is in HANDOFF.md.</x:v>
      </x:c>
      <x:c r="J5" s="112"/>
      <x:c r="K5" s="111" t="str">
        <x:v>https://github.com/QK-Connoisseur/PDoki/commit/56cb0adaffa4896aa9d54257b4eecfe18804bb54</x:v>
      </x:c>
      <x:c r="L5" s="112" t="n">
        <x:v>46271.666666666664</x:v>
      </x:c>
    </x:row>
    <x:row r="6" ht="54" customHeight="1">
      <x:c r="A6" s="111" t="str">
        <x:v>P04-S4-RECONCILE</x:v>
      </x:c>
      <x:c r="B6" s="111" t="str">
        <x:v>P04</x:v>
      </x:c>
      <x:c r="C6" s="111" t="str">
        <x:v>Legal, trust, and creator onboarding</x:v>
      </x:c>
      <x:c r="D6" s="111" t="str">
        <x:v>Branch reconciliation</x:v>
      </x:c>
      <x:c r="E6" s="111" t="str">
        <x:v>Slice 4 source published to dev</x:v>
      </x:c>
      <x:c r="F6" s="111" t="str">
        <x:v>Done</x:v>
      </x:c>
      <x:c r="G6" s="111" t="str">
        <x:v>Engineering</x:v>
      </x:c>
      <x:c r="H6" s="111"/>
      <x:c r="I6" s="111" t="str">
        <x:v>PR #17 merged through dev 56cb0ad, preserving 317abda/25057bd ancestry. Final CI and main-publication evidence is in HANDOFF.md; no deployment or operations activation is implied.</x:v>
      </x:c>
      <x:c r="J6" s="112"/>
      <x:c r="K6" s="111" t="str">
        <x:v>https://github.com/QK-Connoisseur/PDoki/pull/17</x:v>
      </x:c>
      <x:c r="L6" s="112" t="n">
        <x:v>46271.666666666664</x:v>
      </x:c>
    </x:row>
    <x:row r="7" ht="54" customHeight="1">
      <x:c r="A7" s="111" t="str">
        <x:v>P07-E2E-001</x:v>
      </x:c>
      <x:c r="B7" s="111" t="str">
        <x:v>P07</x:v>
      </x:c>
      <x:c r="C7" s="111" t="str">
        <x:v>Core end-to-end vertical slice</x:v>
      </x:c>
      <x:c r="D7" s="111" t="str">
        <x:v>Core vertical slice</x:v>
      </x:c>
      <x:c r="E7" s="111" t="str">
        <x:v>Complete the member-to-creator end-to-end product flow</x:v>
      </x:c>
      <x:c r="F7" s="111" t="str">
        <x:v>Blocked</x:v>
      </x:c>
      <x:c r="G7" s="111" t="str">
        <x:v>Engineering</x:v>
      </x:c>
      <x:c r="H7" s="111" t="str">
        <x:v>Applicable beta flow dependencies</x:v>
      </x:c>
      <x:c r="I7" s="111" t="str">
        <x:v>Continue safe test slices. Beta payment method is unresolved. Paid flows still need processor, entitlement, earnings, refund and reconciliation controls.</x:v>
      </x:c>
      <x:c r="J7" s="112"/>
      <x:c r="K7" s="111" t="str">
        <x:v>https://github.com/QK-Connoisseur/PDoki/blob/dev/PLAN.md#11-phase-7--core-end-to-end-vertical-slice</x:v>
      </x:c>
      <x:c r="L7" s="112" t="n">
        <x:v>46274.666666666664</x:v>
      </x:c>
    </x:row>
    <x:row r="8" ht="54" customHeight="1">
      <x:c r="A8" s="111" t="str">
        <x:v>LEG-MT-087</x:v>
      </x:c>
      <x:c r="B8" s="111" t="str">
        <x:v>P05</x:v>
      </x:c>
      <x:c r="C8" s="111" t="str">
        <x:v>Media pipeline and content model</x:v>
      </x:c>
      <x:c r="D8" s="111" t="str">
        <x:v>Content and access design</x:v>
      </x:c>
      <x:c r="E8" s="111" t="str">
        <x:v>Review P05 Slice 1 local design</x:v>
      </x:c>
      <x:c r="F8" s="111" t="str">
        <x:v>In Review</x:v>
      </x:c>
      <x:c r="G8" s="111" t="str">
        <x:v>Engineering</x:v>
      </x:c>
      <x:c r="H8" s="111" t="str">
        <x:v>Targeted review during relevant slice</x:v>
      </x:c>
      <x:c r="I8" s="111" t="str">
        <x:v>Broader design remains In Review. The local safe-content slice is implemented and under verification. Targeted review is still required before live sensitive use. No P05 exit, deployment or provider approval is claimed.</x:v>
      </x:c>
      <x:c r="J8" s="112"/>
      <x:c r="K8" s="111" t="str">
        <x:v>docs/architecture/phase5-slice1-content-model-and-access-design.md</x:v>
      </x:c>
      <x:c r="L8" s="112" t="n">
        <x:v>46274.666666666664</x:v>
      </x:c>
    </x:row>
    <x:row r="9" ht="54" customHeight="1">
      <x:c r="A9" s="111"/>
      <x:c r="B9" s="111"/>
      <x:c r="C9" s="111"/>
      <x:c r="D9" s="111"/>
      <x:c r="E9" s="111"/>
      <x:c r="F9" s="111"/>
      <x:c r="G9" s="111"/>
      <x:c r="H9" s="111"/>
      <x:c r="I9" s="111"/>
      <x:c r="J9" s="112"/>
      <x:c r="K9" s="111"/>
      <x:c r="L9" s="112"/>
    </x:row>
  </x:sheetData>
  <x:mergeCells>
    <x:mergeCell ref="A1:L1"/>
    <x:mergeCell ref="A2:L2"/>
  </x:mergeCells>
  <x:conditionalFormatting sqref="F4:F9">
    <x:cfRule type="containsText" dxfId="47" priority="1" operator="containsText" text="Done"/>
    <x:cfRule type="containsText" dxfId="48" priority="2" operator="containsText" text="In Progress"/>
    <x:cfRule type="containsText" dxfId="49" priority="3" operator="containsText" text="In Review"/>
    <x:cfRule type="containsText" dxfId="50" priority="4" operator="containsText" text="Blocked"/>
    <x:cfRule type="containsText" dxfId="51" priority="5" operator="containsText" text="Not Started"/>
    <x:cfRule type="containsText" dxfId="52" priority="6" operator="containsText" text="Ready"/>
    <x:cfRule type="containsText" dxfId="53" priority="7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3347981fce4ac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44" hidden="0" customWidth="1"/>
    <x:col min="9" max="9" width="14" hidden="0" customWidth="1"/>
    <x:col min="10" max="10" width="32" hidden="0" customWidth="1"/>
    <x:col min="11" max="11" width="32" hidden="0" customWidth="1"/>
    <x:col min="12" max="12" width="13" hidden="0" customWidth="1"/>
  </x:cols>
  <x:sheetData>
    <x:row r="1" ht="32" customHeight="1">
      <x:c r="A1" s="88" t="str">
        <x:v>📅 Pumdoki Daily Progress Log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24" customHeight="1">
      <x:c r="A2" s="92" t="str">
        <x:v>Append one row per meaningful work session. This is the history behind the plain-language debrief; never rewrite earlier entries.</x:v>
      </x:c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</x:row>
    <x:row r="3" ht="34" customHeight="1">
      <x:c r="A3" s="98" t="str">
        <x:v>Date</x:v>
      </x:c>
      <x:c r="B3" s="98" t="str">
        <x:v>Work ID</x:v>
      </x:c>
      <x:c r="C3" s="98" t="str">
        <x:v>Phase</x:v>
      </x:c>
      <x:c r="D3" s="98" t="str">
        <x:v>Goal</x:v>
      </x:c>
      <x:c r="E3" s="98" t="str">
        <x:v>What Changed</x:v>
      </x:c>
      <x:c r="F3" s="98" t="str">
        <x:v>Why It Matters</x:v>
      </x:c>
      <x:c r="G3" s="98" t="str">
        <x:v>What Did Not Change</x:v>
      </x:c>
      <x:c r="H3" s="98" t="str">
        <x:v>Verification / Evidence</x:v>
      </x:c>
      <x:c r="I3" s="98" t="str">
        <x:v>Status After</x:v>
      </x:c>
      <x:c r="J3" s="98" t="str">
        <x:v>Approval / Blocker</x:v>
      </x:c>
      <x:c r="K3" s="98" t="str">
        <x:v>Next Step</x:v>
      </x:c>
      <x:c r="L3" s="98" t="str">
        <x:v>Logged By</x:v>
      </x:c>
    </x:row>
    <x:row r="4" ht="58" customHeight="1">
      <x:c r="A4" s="110" t="n">
        <x:v>46255.666666666664</x:v>
      </x:c>
      <x:c r="B4" s="109" t="str">
        <x:v>P02-T11</x:v>
      </x:c>
      <x:c r="C4" s="109" t="str">
        <x:v>P02</x:v>
      </x:c>
      <x:c r="D4" s="109" t="str">
        <x:v>Build a reliable local worker foundation.</x:v>
      </x:c>
      <x:c r="E4" s="109" t="str">
        <x:v>Added the PostgreSQL durable-job foundation, separate worker process, lease fencing, retry/terminal behavior, aggregate telemetry, and a fixed non-secret canary in draft PR #13.</x:v>
      </x:c>
      <x:c r="F4" s="109" t="str">
        <x:v>Later asynchronous product work can use a reviewed durable base instead of ad-hoc request-time delivery.</x:v>
      </x:c>
      <x:c r="G4" s="109" t="str">
        <x:v>No product flow, provider, deployment, Redis, live credentials, email/token migration, payment, identity or creator-review activation.</x:v>
      </x:c>
      <x:c r="H4" s="109" t="str">
        <x:v>https://github.com/QK-Connoisseur/PDoki/pull/13 — baseline exact-head CI run 32442777168 passed before this tracker update; fresh CI is required.</x:v>
      </x:c>
      <x:c r="I4" s="109" t="str">
        <x:v>In Review</x:v>
      </x:c>
      <x:c r="J4" s="109" t="str">
        <x:v>Merge remains separately gated.</x:v>
      </x:c>
      <x:c r="K4" s="109" t="str">
        <x:v>Review the updated PR and require fresh exact-head CI.</x:v>
      </x:c>
      <x:c r="L4" s="109" t="str">
        <x:v>Codex</x:v>
      </x:c>
    </x:row>
    <x:row r="5" ht="58" customHeight="1">
      <x:c r="A5" s="112" t="n">
        <x:v>46255.666666666664</x:v>
      </x:c>
      <x:c r="B5" s="111" t="str">
        <x:v>P14-QA-001</x:v>
      </x:c>
      <x:c r="C5" s="111" t="str">
        <x:v>P14</x:v>
      </x:c>
      <x:c r="D5" s="111" t="str">
        <x:v>Remove a calendar-date E2E failure.</x:v>
      </x:c>
      <x:c r="E5" s="111" t="str">
        <x:v>Fixed the promotion-material Playwright test to use a fixed clock before navigation.</x:v>
      </x:c>
      <x:c r="F5" s="111" t="str">
        <x:v>The test no longer fails when promotion fixtures pass their wall-clock expiry date.</x:v>
      </x:c>
      <x:c r="G5" s="111" t="str">
        <x:v>No application or fixture behavior changed.</x:v>
      </x:c>
      <x:c r="H5" s="111" t="str">
        <x:v>https://github.com/QK-Connoisseur/PDoki/pull/13</x:v>
      </x:c>
      <x:c r="I5" s="111" t="str">
        <x:v>In Review</x:v>
      </x:c>
      <x:c r="J5" s="111" t="str">
        <x:v>Fresh CI required after the tracker commit.</x:v>
      </x:c>
      <x:c r="K5" s="111" t="str">
        <x:v>Confirm all three PR checks pass on the new head.</x:v>
      </x:c>
      <x:c r="L5" s="111" t="str">
        <x:v>Codex</x:v>
      </x:c>
    </x:row>
    <x:row r="6" ht="58" customHeight="1">
      <x:c r="A6" s="112" t="n">
        <x:v>46255.666666666664</x:v>
      </x:c>
      <x:c r="B6" s="111" t="str">
        <x:v>P00-T03</x:v>
      </x:c>
      <x:c r="C6" s="111" t="str">
        <x:v>P00</x:v>
      </x:c>
      <x:c r="D6" s="111" t="str">
        <x:v>Make the tracker match PLAN.md and support daily debriefs.</x:v>
      </x:c>
      <x:c r="E6" s="111" t="str">
        <x:v>Mapped all 148 legacy tasks into PLAN Phases 0–14, added stable IDs, roadmap/decision/daily views, and preserved the legacy tracker and notes.</x:v>
      </x:c>
      <x:c r="F6" s="111" t="str">
        <x:v>Founder and engineering can now see current work, review state, blockers, maturity, evidence, and next actions without reading every technical record.</x:v>
      </x:c>
      <x:c r="G6" s="111" t="str">
        <x:v>No legacy task, note, backlog item, assumption, or expense value was deleted or silently changed.</x:v>
      </x:c>
      <x:c r="H6" s="111" t="str">
        <x:v>https://github.com/QK-Connoisseur/PDoki/pull/13</x:v>
      </x:c>
      <x:c r="I6" s="111" t="str">
        <x:v>In Review</x:v>
      </x:c>
      <x:c r="J6" s="111" t="str">
        <x:v>Founder review; merge separately gated.</x:v>
      </x:c>
      <x:c r="K6" s="111" t="str">
        <x:v>Use the new Delivery Tracker and Daily Log as the operating views.</x:v>
      </x:c>
      <x:c r="L6" s="111" t="str">
        <x:v>Codex</x:v>
      </x:c>
    </x:row>
    <x:row r="7" ht="58" customHeight="1">
      <x:c r="A7" s="112" t="n">
        <x:v>46255.666666666664</x:v>
      </x:c>
      <x:c r="B7" s="111" t="str">
        <x:v>P02-T11</x:v>
      </x:c>
      <x:c r="C7" s="111" t="str">
        <x:v>P02</x:v>
      </x:c>
      <x:c r="D7" s="111" t="str">
        <x:v>Publish and reconcile the Phase 2 worker foundation.</x:v>
      </x:c>
      <x:c r="E7" s="111" t="str">
        <x:v>PR #13 merged into dev as 6311522 from reviewed head 8a8688f; post-merge CI 32535922437 passed all three jobs, and the five scoped tracker records moved from In Review to Done.</x:v>
      </x:c>
      <x:c r="F7" s="111" t="str">
        <x:v>The durable canary foundation and PLAN-aligned tracker are now published, and the operating views accurately separate completed evidence from the remaining Phase 2 and Phase 4 gates.</x:v>
      </x:c>
      <x:c r="G7" s="111" t="str">
        <x:v>No product flow, provider, Redis store, deployment, live credential, creator approval, role promotion, or private-operations activation was added.</x:v>
      </x:c>
      <x:c r="H7" s="111" t="str">
        <x:v>https://github.com/QK-Connoisseur/PDoki/pull/13 · https://github.com/QK-Connoisseur/PDoki/actions/runs/32535922437</x:v>
      </x:c>
      <x:c r="I7" s="111" t="str">
        <x:v>Done</x:v>
      </x:c>
      <x:c r="J7" s="111" t="str">
        <x:v>Any new implementation and this reconciliation branch's publication remain separately gated.</x:v>
      </x:c>
      <x:c r="K7" s="111" t="str">
        <x:v>Seek a separate decision on the Phase 4 private-operations identity/access design and local verification scope.</x:v>
      </x:c>
      <x:c r="L7" s="111" t="str">
        <x:v>Codex</x:v>
      </x:c>
    </x:row>
    <x:row r="8" ht="58" customHeight="1">
      <x:c r="A8" s="112" t="n">
        <x:v>46257.666666666664</x:v>
      </x:c>
      <x:c r="B8" s="111" t="str">
        <x:v>P04-OPS-001</x:v>
      </x:c>
      <x:c r="C8" s="111" t="str">
        <x:v>P04</x:v>
      </x:c>
      <x:c r="D8" s="111" t="str">
        <x:v>Build a dormant private-operations identity/access foundation.</x:v>
      </x:c>
      <x:c r="E8" s="111" t="str">
        <x:v>Added strict signed-assertion verification, DB-owned exact operator mappings and permission grants, transaction-time reauthorization, request-integrity seams, immutable history protections, and direct-peer/redacted audit evidence.</x:v>
      </x:c>
      <x:c r="F8" s="111" t="str">
        <x:v>The next operations review work can be evaluated against production-shaped local trust-boundary primitives instead of trusting injected identities or caller-supplied permissions.</x:v>
      </x:c>
      <x:c r="G8" s="111" t="str">
        <x:v>The review router remains unmounted. No APPROVED transition, role promotion, identity collection/files, live provider or issuer, operations session/server, private origin, runtime DB roles, deployment, or live configuration was added; G1–G12 remain NOT EVALUATED.</x:v>
      </x:c>
      <x:c r="H8" s="111" t="str">
        <x:v>https://github.com/QK-Connoisseur/PDoki/blob/codex/phase4-private-ops-access-foundation/docs/architecture/phase4-slice3-private-operations-access-foundation.md · implementation commit 9904334 · 287 API / 166 web / 24 contracts / 15 focused DB-review tests</x:v>
      </x:c>
      <x:c r="I8" s="111" t="str">
        <x:v>In Review</x:v>
      </x:c>
      <x:c r="J8" s="111" t="str">
        <x:v>Draft-PR publication is authorized; merge and every activation/deployment step remain separately gated.</x:v>
      </x:c>
      <x:c r="K8" s="111" t="str">
        <x:v>Publish the draft PR, require exact-head CI, and review the dormant trust boundary without activation.</x:v>
      </x:c>
      <x:c r="L8" s="111" t="str">
        <x:v>Codex</x:v>
      </x:c>
    </x:row>
    <x:row r="9" ht="110" customHeight="1">
      <x:c r="A9" s="111" t="n">
        <x:v>46271.666666666664</x:v>
      </x:c>
      <x:c r="B9" s="111" t="str">
        <x:v>DEC-SEQUENTIAL</x:v>
      </x:c>
      <x:c r="C9" s="111" t="str">
        <x:v>P00</x:v>
      </x:c>
      <x:c r="D9" s="111" t="str">
        <x:v>Record founder launch corrections and funding limits.</x:v>
      </x:c>
      <x:c r="E9" s="111" t="str">
        <x:v>Retained Connect discovery, real-time chat and tipping; cancelled the old Oasis game; recorded post-launch streak concept, provisional founding/Plus offers and staged cash budget.</x:v>
      </x:c>
      <x:c r="F9" s="111" t="str">
        <x:v>The next founder task is the initial business definition, with no spending required.</x:v>
      </x:c>
      <x:c r="G9" s="111" t="str">
        <x:v>No provider selected, public benefit promised, purchase made, deployment or activation authorized by this budget.</x:v>
      </x:c>
      <x:c r="H9" s="111" t="str">
        <x:v>Founder decision, September 6, 2026; Launch Budget; Decision Register</x:v>
      </x:c>
      <x:c r="I9" s="111" t="str">
        <x:v>Done</x:v>
      </x:c>
      <x:c r="J9" s="111" t="str">
        <x:v>Qualified service quotes and commercial terms remain open.</x:v>
      </x:c>
      <x:c r="K9" s="111" t="str">
        <x:v>Complete the one-page initial business definition.</x:v>
      </x:c>
      <x:c r="L9" s="111" t="str">
        <x:v>Codex</x:v>
      </x:c>
    </x:row>
    <x:row r="10" ht="58" customHeight="1">
      <x:c r="A10" s="112" t="n">
        <x:v>46273.666666666664</x:v>
      </x:c>
      <x:c r="B10" s="111" t="str">
        <x:v>LEG-MT-087</x:v>
      </x:c>
      <x:c r="C10" s="111" t="str">
        <x:v>P05</x:v>
      </x:c>
      <x:c r="D10" s="111" t="str">
        <x:v>Draft P05 Slice 1 content model and access rules.</x:v>
      </x:c>
      <x:c r="E10" s="111" t="str">
        <x:v>Prepared a local content/revision/media/offer model, lifecycle, access rules and synthetic acceptance cases. Definition tasks LEG-MT-087 and LEG-MT-089 are In Review.</x:v>
      </x:c>
      <x:c r="F10" s="111" t="str">
        <x:v>Creates a concrete design for review before the first protected-media implementation.</x:v>
      </x:c>
      <x:c r="G10" s="111" t="str">
        <x:v>No contracts, migrations, API routes, worker handlers or UI changed. P05 backend and phase exits remain unfinished; no upload, payment or live operations activated.</x:v>
      </x:c>
      <x:c r="H10" s="111" t="str">
        <x:v>docs/architecture/phase5-slice1-content-model-and-access-design.md</x:v>
      </x:c>
      <x:c r="I10" s="111" t="str">
        <x:v>In Review</x:v>
      </x:c>
      <x:c r="J10" s="111" t="str">
        <x:v>Scoped human technical review remains pending.</x:v>
      </x:c>
      <x:c r="K10" s="111" t="str">
        <x:v>Review the design. Founder still awaits the sent CCBill inquiry response and Maryland formation approval.</x:v>
      </x:c>
      <x:c r="L10" s="111" t="str">
        <x:v>Codex</x:v>
      </x:c>
    </x:row>
    <x:row r="11" ht="58" customHeight="1">
      <x:c r="A11" s="112"/>
      <x:c r="B11" s="111"/>
      <x:c r="C11" s="111"/>
      <x:c r="D11" s="111"/>
      <x:c r="E11" s="111"/>
      <x:c r="F11" s="111"/>
      <x:c r="G11" s="111"/>
      <x:c r="H11" s="111"/>
      <x:c r="I11" s="111"/>
      <x:c r="J11" s="111"/>
      <x:c r="K11" s="111"/>
      <x:c r="L11" s="111"/>
    </x:row>
    <x:row r="12" ht="58" customHeight="1">
      <x:c r="A12" s="111"/>
      <x:c r="B12" s="111"/>
      <x:c r="C12" s="111"/>
      <x:c r="D12" s="111"/>
      <x:c r="E12" s="111"/>
      <x:c r="F12" s="111"/>
      <x:c r="G12" s="111"/>
      <x:c r="H12" s="111"/>
      <x:c r="I12" s="111"/>
      <x:c r="J12" s="111"/>
      <x:c r="K12" s="111"/>
      <x:c r="L12" s="111"/>
    </x:row>
    <x:row r="13" ht="58" customHeight="1">
      <x:c r="A13" s="111"/>
      <x:c r="B13" s="111"/>
      <x:c r="C13" s="111"/>
      <x:c r="D13" s="111"/>
      <x:c r="E13" s="111"/>
      <x:c r="F13" s="111"/>
      <x:c r="G13" s="111"/>
      <x:c r="H13" s="111"/>
      <x:c r="I13" s="111"/>
      <x:c r="J13" s="111"/>
      <x:c r="K13" s="111"/>
      <x:c r="L13" s="111"/>
    </x:row>
    <x:row r="14" ht="58" customHeight="1">
      <x:c r="A14" s="111"/>
      <x:c r="B14" s="111"/>
      <x:c r="C14" s="111"/>
      <x:c r="D14" s="111"/>
      <x:c r="E14" s="111"/>
      <x:c r="F14" s="111"/>
      <x:c r="G14" s="111"/>
      <x:c r="H14" s="111"/>
      <x:c r="I14" s="111"/>
      <x:c r="J14" s="111"/>
      <x:c r="K14" s="111"/>
      <x:c r="L14" s="111"/>
    </x:row>
    <x:row r="15" ht="58" customHeight="1">
      <x:c r="A15" s="111"/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</x:row>
    <x:row r="16" ht="58" customHeight="1">
      <x:c r="A16" s="111"/>
      <x:c r="B16" s="111"/>
      <x:c r="C16" s="111"/>
      <x:c r="D16" s="111"/>
      <x:c r="E16" s="111"/>
      <x:c r="F16" s="111"/>
      <x:c r="G16" s="111"/>
      <x:c r="H16" s="111"/>
      <x:c r="I16" s="111"/>
      <x:c r="J16" s="111"/>
      <x:c r="K16" s="111"/>
      <x:c r="L16" s="111"/>
    </x:row>
    <x:row r="17" ht="58" customHeight="1">
      <x:c r="A17" s="111"/>
      <x:c r="B17" s="111"/>
      <x:c r="C17" s="111"/>
      <x:c r="D17" s="111"/>
      <x:c r="E17" s="111"/>
      <x:c r="F17" s="111"/>
      <x:c r="G17" s="111"/>
      <x:c r="H17" s="111"/>
      <x:c r="I17" s="111"/>
      <x:c r="J17" s="111"/>
      <x:c r="K17" s="111"/>
      <x:c r="L17" s="111"/>
    </x:row>
    <x:row r="18" ht="58" customHeight="1">
      <x:c r="A18" s="111"/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11"/>
    </x:row>
    <x:row r="19" ht="58" customHeight="1">
      <x:c r="A19" s="111"/>
      <x:c r="B19" s="111"/>
      <x:c r="C19" s="111"/>
      <x:c r="D19" s="111"/>
      <x:c r="E19" s="111"/>
      <x:c r="F19" s="111"/>
      <x:c r="G19" s="111"/>
      <x:c r="H19" s="111"/>
      <x:c r="I19" s="111"/>
      <x:c r="J19" s="111"/>
      <x:c r="K19" s="111"/>
      <x:c r="L19" s="111"/>
    </x:row>
    <x:row r="20" ht="58" customHeight="1">
      <x:c r="A20" s="111"/>
      <x:c r="B20" s="111"/>
      <x:c r="C20" s="111"/>
      <x:c r="D20" s="111"/>
      <x:c r="E20" s="111"/>
      <x:c r="F20" s="111"/>
      <x:c r="G20" s="111"/>
      <x:c r="H20" s="111"/>
      <x:c r="I20" s="111"/>
      <x:c r="J20" s="111"/>
      <x:c r="K20" s="111"/>
      <x:c r="L20" s="111"/>
    </x:row>
    <x:row r="21" ht="58" customHeight="1">
      <x:c r="A21" s="111"/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11"/>
    </x:row>
    <x:row r="22" ht="58" customHeight="1">
      <x:c r="A22" s="111"/>
      <x:c r="B22" s="111"/>
      <x:c r="C22" s="111"/>
      <x:c r="D22" s="111"/>
      <x:c r="E22" s="111"/>
      <x:c r="F22" s="111"/>
      <x:c r="G22" s="111"/>
      <x:c r="H22" s="111"/>
      <x:c r="I22" s="111"/>
      <x:c r="J22" s="111"/>
      <x:c r="K22" s="111"/>
      <x:c r="L22" s="111"/>
    </x:row>
    <x:row r="23" ht="58" customHeight="1">
      <x:c r="A23" s="111"/>
      <x:c r="B23" s="111"/>
      <x:c r="C23" s="111"/>
      <x:c r="D23" s="111"/>
      <x:c r="E23" s="111"/>
      <x:c r="F23" s="111"/>
      <x:c r="G23" s="111"/>
      <x:c r="H23" s="111"/>
      <x:c r="I23" s="111"/>
      <x:c r="J23" s="111"/>
      <x:c r="K23" s="111"/>
      <x:c r="L23" s="111"/>
    </x:row>
    <x:row r="24" ht="58" customHeight="1">
      <x:c r="A24" s="111"/>
      <x:c r="B24" s="111"/>
      <x:c r="C24" s="111"/>
      <x:c r="D24" s="111"/>
      <x:c r="E24" s="111"/>
      <x:c r="F24" s="111"/>
      <x:c r="G24" s="111"/>
      <x:c r="H24" s="111"/>
      <x:c r="I24" s="111"/>
      <x:c r="J24" s="111"/>
      <x:c r="K24" s="111"/>
      <x:c r="L24" s="111"/>
    </x:row>
    <x:row r="25" ht="58" customHeight="1">
      <x:c r="A25" s="111"/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11"/>
    </x:row>
    <x:row r="26" ht="58" customHeight="1">
      <x:c r="A26" s="111"/>
      <x:c r="B26" s="111"/>
      <x:c r="C26" s="111"/>
      <x:c r="D26" s="111"/>
      <x:c r="E26" s="111"/>
      <x:c r="F26" s="111"/>
      <x:c r="G26" s="111"/>
      <x:c r="H26" s="111"/>
      <x:c r="I26" s="111"/>
      <x:c r="J26" s="111"/>
      <x:c r="K26" s="111"/>
      <x:c r="L26" s="111"/>
    </x:row>
    <x:row r="27" ht="58" customHeight="1">
      <x:c r="A27" s="111"/>
      <x:c r="B27" s="111"/>
      <x:c r="C27" s="111"/>
      <x:c r="D27" s="111"/>
      <x:c r="E27" s="111"/>
      <x:c r="F27" s="111"/>
      <x:c r="G27" s="111"/>
      <x:c r="H27" s="111"/>
      <x:c r="I27" s="111"/>
      <x:c r="J27" s="111"/>
      <x:c r="K27" s="111"/>
      <x:c r="L27" s="111"/>
    </x:row>
    <x:row r="28" ht="58" customHeight="1">
      <x:c r="A28" s="111"/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11"/>
    </x:row>
    <x:row r="29" ht="58" customHeight="1">
      <x:c r="A29" s="111"/>
      <x:c r="B29" s="111"/>
      <x:c r="C29" s="111"/>
      <x:c r="D29" s="111"/>
      <x:c r="E29" s="111"/>
      <x:c r="F29" s="111"/>
      <x:c r="G29" s="111"/>
      <x:c r="H29" s="111"/>
      <x:c r="I29" s="111"/>
      <x:c r="J29" s="111"/>
      <x:c r="K29" s="111"/>
      <x:c r="L29" s="111"/>
    </x:row>
    <x:row r="30" ht="58" customHeight="1">
      <x:c r="A30" s="111"/>
      <x:c r="B30" s="111"/>
      <x:c r="C30" s="111"/>
      <x:c r="D30" s="111"/>
      <x:c r="E30" s="111"/>
      <x:c r="F30" s="111"/>
      <x:c r="G30" s="111"/>
      <x:c r="H30" s="111"/>
      <x:c r="I30" s="111"/>
      <x:c r="J30" s="111"/>
      <x:c r="K30" s="111"/>
      <x:c r="L30" s="111"/>
    </x:row>
    <x:row r="31" ht="58" customHeight="1">
      <x:c r="A31" s="111"/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11"/>
    </x:row>
    <x:row r="32" ht="58" customHeight="1">
      <x:c r="A32" s="111"/>
      <x:c r="B32" s="111"/>
      <x:c r="C32" s="111"/>
      <x:c r="D32" s="111"/>
      <x:c r="E32" s="111"/>
      <x:c r="F32" s="111"/>
      <x:c r="G32" s="111"/>
      <x:c r="H32" s="111"/>
      <x:c r="I32" s="111"/>
      <x:c r="J32" s="111"/>
      <x:c r="K32" s="111"/>
      <x:c r="L32" s="111"/>
    </x:row>
    <x:row r="33" ht="58" customHeight="1">
      <x:c r="A33" s="111"/>
      <x:c r="B33" s="111"/>
      <x:c r="C33" s="111"/>
      <x:c r="D33" s="111"/>
      <x:c r="E33" s="111"/>
      <x:c r="F33" s="111"/>
      <x:c r="G33" s="111"/>
      <x:c r="H33" s="111"/>
      <x:c r="I33" s="111"/>
      <x:c r="J33" s="111"/>
      <x:c r="K33" s="111"/>
      <x:c r="L33" s="111"/>
    </x:row>
    <x:row r="34" ht="58" customHeight="1">
      <x:c r="A34" s="111"/>
      <x:c r="B34" s="111"/>
      <x:c r="C34" s="111"/>
      <x:c r="D34" s="111"/>
      <x:c r="E34" s="111"/>
      <x:c r="F34" s="111"/>
      <x:c r="G34" s="111"/>
      <x:c r="H34" s="111"/>
      <x:c r="I34" s="111"/>
      <x:c r="J34" s="111"/>
      <x:c r="K34" s="111"/>
      <x:c r="L34" s="111"/>
    </x:row>
    <x:row r="35" ht="58" customHeight="1">
      <x:c r="A35" s="111"/>
      <x:c r="B35" s="111"/>
      <x:c r="C35" s="111"/>
      <x:c r="D35" s="111"/>
      <x:c r="E35" s="111"/>
      <x:c r="F35" s="111"/>
      <x:c r="G35" s="111"/>
      <x:c r="H35" s="111"/>
      <x:c r="I35" s="111"/>
      <x:c r="J35" s="111"/>
      <x:c r="K35" s="111"/>
      <x:c r="L35" s="111"/>
    </x:row>
    <x:row r="36" ht="58" customHeight="1">
      <x:c r="A36" s="111"/>
      <x:c r="B36" s="111"/>
      <x:c r="C36" s="111"/>
      <x:c r="D36" s="111"/>
      <x:c r="E36" s="111"/>
      <x:c r="F36" s="111"/>
      <x:c r="G36" s="111"/>
      <x:c r="H36" s="111"/>
      <x:c r="I36" s="111"/>
      <x:c r="J36" s="111"/>
      <x:c r="K36" s="111"/>
      <x:c r="L36" s="111"/>
    </x:row>
    <x:row r="37" ht="58" customHeight="1">
      <x:c r="A37" s="111"/>
      <x:c r="B37" s="111"/>
      <x:c r="C37" s="111"/>
      <x:c r="D37" s="111"/>
      <x:c r="E37" s="111"/>
      <x:c r="F37" s="111"/>
      <x:c r="G37" s="111"/>
      <x:c r="H37" s="111"/>
      <x:c r="I37" s="111"/>
      <x:c r="J37" s="111"/>
      <x:c r="K37" s="111"/>
      <x:c r="L37" s="111"/>
    </x:row>
    <x:row r="38" ht="58" customHeight="1">
      <x:c r="A38" s="111"/>
      <x:c r="B38" s="111"/>
      <x:c r="C38" s="111"/>
      <x:c r="D38" s="111"/>
      <x:c r="E38" s="111"/>
      <x:c r="F38" s="111"/>
      <x:c r="G38" s="111"/>
      <x:c r="H38" s="111"/>
      <x:c r="I38" s="111"/>
      <x:c r="J38" s="111"/>
      <x:c r="K38" s="111"/>
      <x:c r="L38" s="111"/>
    </x:row>
    <x:row r="39" ht="58" customHeight="1">
      <x:c r="A39" s="111"/>
      <x:c r="B39" s="111"/>
      <x:c r="C39" s="111"/>
      <x:c r="D39" s="111"/>
      <x:c r="E39" s="111"/>
      <x:c r="F39" s="111"/>
      <x:c r="G39" s="111"/>
      <x:c r="H39" s="111"/>
      <x:c r="I39" s="111"/>
      <x:c r="J39" s="111"/>
      <x:c r="K39" s="111"/>
      <x:c r="L39" s="111"/>
    </x:row>
    <x:row r="40" ht="58" customHeight="1">
      <x:c r="A40" s="111"/>
      <x:c r="B40" s="111"/>
      <x:c r="C40" s="111"/>
      <x:c r="D40" s="111"/>
      <x:c r="E40" s="111"/>
      <x:c r="F40" s="111"/>
      <x:c r="G40" s="111"/>
      <x:c r="H40" s="111"/>
      <x:c r="I40" s="111"/>
      <x:c r="J40" s="111"/>
      <x:c r="K40" s="111"/>
      <x:c r="L40" s="111"/>
    </x:row>
    <x:row r="41" ht="58" customHeight="1">
      <x:c r="A41" s="111"/>
      <x:c r="B41" s="111"/>
      <x:c r="C41" s="111"/>
      <x:c r="D41" s="111"/>
      <x:c r="E41" s="111"/>
      <x:c r="F41" s="111"/>
      <x:c r="G41" s="111"/>
      <x:c r="H41" s="111"/>
      <x:c r="I41" s="111"/>
      <x:c r="J41" s="111"/>
      <x:c r="K41" s="111"/>
      <x:c r="L41" s="111"/>
    </x:row>
    <x:row r="42" ht="58" customHeight="1">
      <x:c r="A42" s="111"/>
      <x:c r="B42" s="111"/>
      <x:c r="C42" s="111"/>
      <x:c r="D42" s="111"/>
      <x:c r="E42" s="111"/>
      <x:c r="F42" s="111"/>
      <x:c r="G42" s="111"/>
      <x:c r="H42" s="111"/>
      <x:c r="I42" s="111"/>
      <x:c r="J42" s="111"/>
      <x:c r="K42" s="111"/>
      <x:c r="L42" s="111"/>
    </x:row>
    <x:row r="43" ht="58" customHeight="1">
      <x:c r="A43" s="111"/>
      <x:c r="B43" s="111"/>
      <x:c r="C43" s="111"/>
      <x:c r="D43" s="111"/>
      <x:c r="E43" s="111"/>
      <x:c r="F43" s="111"/>
      <x:c r="G43" s="111"/>
      <x:c r="H43" s="111"/>
      <x:c r="I43" s="111"/>
      <x:c r="J43" s="111"/>
      <x:c r="K43" s="111"/>
      <x:c r="L43" s="111"/>
    </x:row>
    <x:row r="44" ht="58" customHeight="1">
      <x:c r="A44" s="111"/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</x:row>
    <x:row r="45" ht="58" customHeight="1">
      <x:c r="A45" s="111"/>
      <x:c r="B45" s="111"/>
      <x:c r="C45" s="111"/>
      <x:c r="D45" s="111"/>
      <x:c r="E45" s="111"/>
      <x:c r="F45" s="111"/>
      <x:c r="G45" s="111"/>
      <x:c r="H45" s="111"/>
      <x:c r="I45" s="111"/>
      <x:c r="J45" s="111"/>
      <x:c r="K45" s="111"/>
      <x:c r="L45" s="111"/>
    </x:row>
    <x:row r="46" ht="58" customHeight="1">
      <x:c r="A46" s="111"/>
      <x:c r="B46" s="111"/>
      <x:c r="C46" s="111"/>
      <x:c r="D46" s="111"/>
      <x:c r="E46" s="111"/>
      <x:c r="F46" s="111"/>
      <x:c r="G46" s="111"/>
      <x:c r="H46" s="111"/>
      <x:c r="I46" s="111"/>
      <x:c r="J46" s="111"/>
      <x:c r="K46" s="111"/>
      <x:c r="L46" s="111"/>
    </x:row>
    <x:row r="47" ht="58" customHeight="1">
      <x:c r="A47" s="111"/>
      <x:c r="B47" s="111"/>
      <x:c r="C47" s="111"/>
      <x:c r="D47" s="111"/>
      <x:c r="E47" s="111"/>
      <x:c r="F47" s="111"/>
      <x:c r="G47" s="111"/>
      <x:c r="H47" s="111"/>
      <x:c r="I47" s="111"/>
      <x:c r="J47" s="111"/>
      <x:c r="K47" s="111"/>
      <x:c r="L47" s="111"/>
    </x:row>
    <x:row r="48" ht="58" customHeight="1">
      <x:c r="A48" s="111"/>
      <x:c r="B48" s="111"/>
      <x:c r="C48" s="111"/>
      <x:c r="D48" s="111"/>
      <x:c r="E48" s="111"/>
      <x:c r="F48" s="111"/>
      <x:c r="G48" s="111"/>
      <x:c r="H48" s="111"/>
      <x:c r="I48" s="111"/>
      <x:c r="J48" s="111"/>
      <x:c r="K48" s="111"/>
      <x:c r="L48" s="111"/>
    </x:row>
    <x:row r="49" ht="58" customHeight="1">
      <x:c r="A49" s="111"/>
      <x:c r="B49" s="111"/>
      <x:c r="C49" s="111"/>
      <x:c r="D49" s="111"/>
      <x:c r="E49" s="111"/>
      <x:c r="F49" s="111"/>
      <x:c r="G49" s="111"/>
      <x:c r="H49" s="111"/>
      <x:c r="I49" s="111"/>
      <x:c r="J49" s="111"/>
      <x:c r="K49" s="111"/>
      <x:c r="L49" s="111"/>
    </x:row>
    <x:row r="50" ht="58" customHeight="1">
      <x:c r="A50" s="111"/>
      <x:c r="B50" s="111"/>
      <x:c r="C50" s="111"/>
      <x:c r="D50" s="111"/>
      <x:c r="E50" s="111"/>
      <x:c r="F50" s="111"/>
      <x:c r="G50" s="111"/>
      <x:c r="H50" s="111"/>
      <x:c r="I50" s="111"/>
      <x:c r="J50" s="111"/>
      <x:c r="K50" s="111"/>
      <x:c r="L50" s="111"/>
    </x:row>
    <x:row r="51" ht="58" customHeight="1">
      <x:c r="A51" s="111"/>
      <x:c r="B51" s="111"/>
      <x:c r="C51" s="111"/>
      <x:c r="D51" s="111"/>
      <x:c r="E51" s="111"/>
      <x:c r="F51" s="111"/>
      <x:c r="G51" s="111"/>
      <x:c r="H51" s="111"/>
      <x:c r="I51" s="111"/>
      <x:c r="J51" s="111"/>
      <x:c r="K51" s="111"/>
      <x:c r="L51" s="111"/>
    </x:row>
    <x:row r="52" ht="58" customHeight="1">
      <x:c r="A52" s="111"/>
      <x:c r="B52" s="111"/>
      <x:c r="C52" s="111"/>
      <x:c r="D52" s="111"/>
      <x:c r="E52" s="111"/>
      <x:c r="F52" s="111"/>
      <x:c r="G52" s="111"/>
      <x:c r="H52" s="111"/>
      <x:c r="I52" s="111"/>
      <x:c r="J52" s="111"/>
      <x:c r="K52" s="111"/>
      <x:c r="L52" s="111"/>
    </x:row>
    <x:row r="53" ht="58" customHeight="1">
      <x:c r="A53" s="111"/>
      <x:c r="B53" s="111"/>
      <x:c r="C53" s="111"/>
      <x:c r="D53" s="111"/>
      <x:c r="E53" s="111"/>
      <x:c r="F53" s="111"/>
      <x:c r="G53" s="111"/>
      <x:c r="H53" s="111"/>
      <x:c r="I53" s="111"/>
      <x:c r="J53" s="111"/>
      <x:c r="K53" s="111"/>
      <x:c r="L53" s="111"/>
    </x:row>
    <x:row r="54" ht="58" customHeight="1">
      <x:c r="A54" s="111"/>
      <x:c r="B54" s="111"/>
      <x:c r="C54" s="111"/>
      <x:c r="D54" s="111"/>
      <x:c r="E54" s="111"/>
      <x:c r="F54" s="111"/>
      <x:c r="G54" s="111"/>
      <x:c r="H54" s="111"/>
      <x:c r="I54" s="111"/>
      <x:c r="J54" s="111"/>
      <x:c r="K54" s="111"/>
      <x:c r="L54" s="111"/>
    </x:row>
    <x:row r="55" ht="58" customHeight="1">
      <x:c r="A55" s="111"/>
      <x:c r="B55" s="111"/>
      <x:c r="C55" s="111"/>
      <x:c r="D55" s="111"/>
      <x:c r="E55" s="111"/>
      <x:c r="F55" s="111"/>
      <x:c r="G55" s="111"/>
      <x:c r="H55" s="111"/>
      <x:c r="I55" s="111"/>
      <x:c r="J55" s="111"/>
      <x:c r="K55" s="111"/>
      <x:c r="L55" s="111"/>
    </x:row>
    <x:row r="56" ht="58" customHeight="1">
      <x:c r="A56" s="111"/>
      <x:c r="B56" s="111"/>
      <x:c r="C56" s="111"/>
      <x:c r="D56" s="111"/>
      <x:c r="E56" s="111"/>
      <x:c r="F56" s="111"/>
      <x:c r="G56" s="111"/>
      <x:c r="H56" s="111"/>
      <x:c r="I56" s="111"/>
      <x:c r="J56" s="111"/>
      <x:c r="K56" s="111"/>
      <x:c r="L56" s="111"/>
    </x:row>
    <x:row r="57" ht="58" customHeight="1">
      <x:c r="A57" s="111"/>
      <x:c r="B57" s="111"/>
      <x:c r="C57" s="111"/>
      <x:c r="D57" s="111"/>
      <x:c r="E57" s="111"/>
      <x:c r="F57" s="111"/>
      <x:c r="G57" s="111"/>
      <x:c r="H57" s="111"/>
      <x:c r="I57" s="111"/>
      <x:c r="J57" s="111"/>
      <x:c r="K57" s="111"/>
      <x:c r="L57" s="111"/>
    </x:row>
    <x:row r="58" ht="58" customHeight="1">
      <x:c r="A58" s="111"/>
      <x:c r="B58" s="111"/>
      <x:c r="C58" s="111"/>
      <x:c r="D58" s="111"/>
      <x:c r="E58" s="111"/>
      <x:c r="F58" s="111"/>
      <x:c r="G58" s="111"/>
      <x:c r="H58" s="111"/>
      <x:c r="I58" s="111"/>
      <x:c r="J58" s="111"/>
      <x:c r="K58" s="111"/>
      <x:c r="L58" s="111"/>
    </x:row>
    <x:row r="59" ht="58" customHeight="1">
      <x:c r="A59" s="111"/>
      <x:c r="B59" s="111"/>
      <x:c r="C59" s="111"/>
      <x:c r="D59" s="111"/>
      <x:c r="E59" s="111"/>
      <x:c r="F59" s="111"/>
      <x:c r="G59" s="111"/>
      <x:c r="H59" s="111"/>
      <x:c r="I59" s="111"/>
      <x:c r="J59" s="111"/>
      <x:c r="K59" s="111"/>
      <x:c r="L59" s="111"/>
    </x:row>
    <x:row r="60" ht="58" customHeight="1">
      <x:c r="A60" s="111"/>
      <x:c r="B60" s="111"/>
      <x:c r="C60" s="111"/>
      <x:c r="D60" s="111"/>
      <x:c r="E60" s="111"/>
      <x:c r="F60" s="111"/>
      <x:c r="G60" s="111"/>
      <x:c r="H60" s="111"/>
      <x:c r="I60" s="111"/>
      <x:c r="J60" s="111"/>
      <x:c r="K60" s="111"/>
      <x:c r="L60" s="111"/>
    </x:row>
    <x:row r="61" ht="58" customHeight="1">
      <x:c r="A61" s="111"/>
      <x:c r="B61" s="111"/>
      <x:c r="C61" s="111"/>
      <x:c r="D61" s="111"/>
      <x:c r="E61" s="111"/>
      <x:c r="F61" s="111"/>
      <x:c r="G61" s="111"/>
      <x:c r="H61" s="111"/>
      <x:c r="I61" s="111"/>
      <x:c r="J61" s="111"/>
      <x:c r="K61" s="111"/>
      <x:c r="L61" s="111"/>
    </x:row>
    <x:row r="62" ht="58" customHeight="1">
      <x:c r="A62" s="111"/>
      <x:c r="B62" s="111"/>
      <x:c r="C62" s="111"/>
      <x:c r="D62" s="111"/>
      <x:c r="E62" s="111"/>
      <x:c r="F62" s="111"/>
      <x:c r="G62" s="111"/>
      <x:c r="H62" s="111"/>
      <x:c r="I62" s="111"/>
      <x:c r="J62" s="111"/>
      <x:c r="K62" s="111"/>
      <x:c r="L62" s="111"/>
    </x:row>
    <x:row r="63" ht="58" customHeight="1">
      <x:c r="A63" s="111"/>
      <x:c r="B63" s="111"/>
      <x:c r="C63" s="111"/>
      <x:c r="D63" s="111"/>
      <x:c r="E63" s="111"/>
      <x:c r="F63" s="111"/>
      <x:c r="G63" s="111"/>
      <x:c r="H63" s="111"/>
      <x:c r="I63" s="111"/>
      <x:c r="J63" s="111"/>
      <x:c r="K63" s="111"/>
      <x:c r="L63" s="111"/>
    </x:row>
  </x:sheetData>
  <x:mergeCells>
    <x:mergeCell ref="A1:L1"/>
    <x:mergeCell ref="A2:L2"/>
  </x:mergeCells>
  <x:conditionalFormatting sqref="I4:I63">
    <x:cfRule type="containsText" dxfId="54" priority="1" operator="containsText" text="Done"/>
    <x:cfRule type="containsText" dxfId="55" priority="2" operator="containsText" text="In Progress"/>
    <x:cfRule type="containsText" dxfId="56" priority="3" operator="containsText" text="In Review"/>
    <x:cfRule type="containsText" dxfId="57" priority="4" operator="containsText" text="Blocked"/>
    <x:cfRule type="containsText" dxfId="58" priority="5" operator="containsText" text="Not Started"/>
    <x:cfRule type="containsText" dxfId="59" priority="6" operator="containsText" text="Ready"/>
    <x:cfRule type="containsText" dxfId="60" priority="7" operator="containsText" text="Deferred"/>
  </x:conditionalFormatting>
  <x:dataValidations count="1">
    <x:dataValidation type="list" sqref="I4:I63">
      <x:formula1>"Not Started,Ready,In Progress,In Review,Blocked,Done,Deferred"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a41e26394447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48" hidden="0" customWidth="1"/>
    <x:col min="8" max="8" width="48" hidden="0" customWidth="1"/>
    <x:col min="9" max="9" width="42" hidden="0" customWidth="1"/>
    <x:col min="10" max="10" width="13" hidden="0" customWidth="1"/>
  </x:cols>
  <x:sheetData>
    <x:row r="1" ht="32" customHeight="1">
      <x:c r="A1" s="88" t="str">
        <x:v>🔐 Pumdoki Decision &amp; Dependency Register</x:v>
      </x:c>
      <x:c r="B1" s="88"/>
      <x:c r="C1" s="88"/>
      <x:c r="D1" s="88"/>
      <x:c r="E1" s="88"/>
      <x:c r="F1" s="88"/>
      <x:c r="G1" s="88"/>
      <x:c r="H1" s="88"/>
      <x:c r="I1" s="88"/>
      <x:c r="J1" s="88"/>
    </x:row>
    <x:row r="2" ht="24" customHeight="1">
      <x:c r="A2" s="92" t="str">
        <x:v>Founder, legal, provider, and infrastructure decisions that block or constrain delivery. Targets are management review dates, not legal deadlines.</x:v>
      </x:c>
      <x:c r="B2" s="92"/>
      <x:c r="C2" s="92"/>
      <x:c r="D2" s="92"/>
      <x:c r="E2" s="92"/>
      <x:c r="F2" s="92"/>
      <x:c r="G2" s="92"/>
      <x:c r="H2" s="92"/>
      <x:c r="I2" s="92"/>
      <x:c r="J2" s="92"/>
    </x:row>
    <x:row r="3" ht="34" customHeight="1">
      <x:c r="A3" s="98" t="str">
        <x:v>Decision ID</x:v>
      </x:c>
      <x:c r="B3" s="98" t="str">
        <x:v>Phase</x:v>
      </x:c>
      <x:c r="C3" s="98" t="str">
        <x:v>Decision / Dependency</x:v>
      </x:c>
      <x:c r="D3" s="98" t="str">
        <x:v>Owner</x:v>
      </x:c>
      <x:c r="E3" s="98" t="str">
        <x:v>Target</x:v>
      </x:c>
      <x:c r="F3" s="98" t="str">
        <x:v>Workflow</x:v>
      </x:c>
      <x:c r="G3" s="98" t="str">
        <x:v>Current State</x:v>
      </x:c>
      <x:c r="H3" s="98" t="str">
        <x:v>Next Action</x:v>
      </x:c>
      <x:c r="I3" s="98" t="str">
        <x:v>Evidence</x:v>
      </x:c>
      <x:c r="J3" s="98" t="str">
        <x:v>Updated</x:v>
      </x:c>
    </x:row>
    <x:row r="4" ht="55" customHeight="1">
      <x:c r="A4" s="109" t="str">
        <x:v>DEC-AWS-STAGING</x:v>
      </x:c>
      <x:c r="B4" s="109" t="str">
        <x:v>P02</x:v>
      </x:c>
      <x:c r="C4" s="109" t="str">
        <x:v>AWS staging shape and account access</x:v>
      </x:c>
      <x:c r="D4" s="109" t="str">
        <x:v>Founder</x:v>
      </x:c>
      <x:c r="E4" s="110" t="n">
        <x:v>46226.666666666664</x:v>
      </x:c>
      <x:c r="F4" s="109" t="str">
        <x:v>Blocked</x:v>
      </x:c>
      <x:c r="G4" s="109" t="str">
        <x:v>Deployment shape, credentials boundary, and approval remain undecided.</x:v>
      </x:c>
      <x:c r="H4" s="109" t="str">
        <x:v>Review the provider-neutral staging matrix and explicitly approve a staging-only shape.</x:v>
      </x:c>
      <x:c r="I4" s="109" t="str">
        <x:v>https://github.com/QK-Connoisseur/PDoki/tree/dev/docs/operations</x:v>
      </x:c>
      <x:c r="J4" s="110" t="n">
        <x:v>46255.666666666664</x:v>
      </x:c>
    </x:row>
    <x:row r="5" ht="55" customHeight="1">
      <x:c r="A5" s="111" t="str">
        <x:v>DEC-MONITORING</x:v>
      </x:c>
      <x:c r="B5" s="111" t="str">
        <x:v>P02</x:v>
      </x:c>
      <x:c r="C5" s="111" t="str">
        <x:v>Sentry or equivalent</x:v>
      </x:c>
      <x:c r="D5" s="111" t="str">
        <x:v>Founder</x:v>
      </x:c>
      <x:c r="E5" s="112" t="n">
        <x:v>46226.666666666664</x:v>
      </x:c>
      <x:c r="F5" s="111" t="str">
        <x:v>Blocked</x:v>
      </x:c>
      <x:c r="G5" s="111" t="str">
        <x:v>Provider, environment separation, PII minimization, retention, alerting, and cost remain undecided.</x:v>
      </x:c>
      <x:c r="H5" s="111" t="str">
        <x:v>Select a provider only after reviewing the scorecard and data boundaries.</x:v>
      </x:c>
      <x:c r="I5" s="111" t="str">
        <x:v>https://github.com/QK-Connoisseur/PDoki/tree/dev/docs/operations</x:v>
      </x:c>
      <x:c r="J5" s="112" t="n">
        <x:v>46255.666666666664</x:v>
      </x:c>
    </x:row>
    <x:row r="6" ht="55" customHeight="1">
      <x:c r="A6" s="111" t="str">
        <x:v>DEC-ASYNC-ARCH</x:v>
      </x:c>
      <x:c r="B6" s="111" t="str">
        <x:v>P02</x:v>
      </x:c>
      <x:c r="C6" s="111" t="str">
        <x:v>Redis, queue, and idempotency architecture</x:v>
      </x:c>
      <x:c r="D6" s="111" t="str">
        <x:v>Engineering</x:v>
      </x:c>
      <x:c r="E6" s="112" t="n">
        <x:v>46252.666666666664</x:v>
      </x:c>
      <x:c r="F6" s="111" t="str">
        <x:v>Done</x:v>
      </x:c>
      <x:c r="G6" s="111" t="str">
        <x:v>PostgreSQL is durable truth; Redis is limited to shared throttling/ephemeral coordination; unlimited outage behavior is prohibited.</x:v>
      </x:c>
      <x:c r="H6" s="111" t="str">
        <x:v>Preserve the ADR constraints during implementation.</x:v>
      </x:c>
      <x:c r="I6" s="111" t="str">
        <x:v>https://github.com/QK-Connoisseur/PDoki/blob/dev/docs/architecture/phase2-async-work-throttling-idempotency.md</x:v>
      </x:c>
      <x:c r="J6" s="112" t="n">
        <x:v>46255.666666666664</x:v>
      </x:c>
    </x:row>
    <x:row r="7" ht="55" customHeight="1">
      <x:c r="A7" s="111" t="str">
        <x:v>DEC-WORKER-PR13</x:v>
      </x:c>
      <x:c r="B7" s="111" t="str">
        <x:v>P02</x:v>
      </x:c>
      <x:c r="C7" s="111" t="str">
        <x:v>Application-owned worker foundation review</x:v>
      </x:c>
      <x:c r="D7" s="111" t="str">
        <x:v>Founder</x:v>
      </x:c>
      <x:c r="E7" s="112" t="n">
        <x:v>46259.666666666664</x:v>
      </x:c>
      <x:c r="F7" s="111" t="str">
        <x:v>Done</x:v>
      </x:c>
      <x:c r="G7" s="111" t="str">
        <x:v>PR #13 merged into dev as 6311522 from reviewed head 8a8688f; exact-head and post-merge CI passed all three jobs.</x:v>
      </x:c>
      <x:c r="H7" s="111" t="str">
        <x:v>Preserve the fixed-canary and no-product-flow boundary; treat every further Phase 2 implementation or deployment step as separately gated.</x:v>
      </x:c>
      <x:c r="I7" s="111" t="str">
        <x:v>https://github.com/QK-Connoisseur/PDoki/pull/13</x:v>
      </x:c>
      <x:c r="J7" s="112" t="n">
        <x:v>46255.666666666664</x:v>
      </x:c>
    </x:row>
    <x:row r="8" ht="55" customHeight="1">
      <x:c r="A8" s="111" t="str">
        <x:v>DEC-EMAIL</x:v>
      </x:c>
      <x:c r="B8" s="111" t="str">
        <x:v>P09</x:v>
      </x:c>
      <x:c r="C8" s="111" t="str">
        <x:v>Transactional email provider</x:v>
      </x:c>
      <x:c r="D8" s="111" t="str">
        <x:v>Founder</x:v>
      </x:c>
      <x:c r="E8" s="112"/>
      <x:c r="F8" s="111" t="str">
        <x:v>Deferred</x:v>
      </x:c>
      <x:c r="G8" s="111" t="str">
        <x:v>Local Mailpit and provider-neutral mail exist. Production startup correctly fails closed without approved delivery.</x:v>
      </x:c>
      <x:c r="H8" s="111" t="str">
        <x:v>Choose email after entity, processor fit, country/data boundaries and funded staging scope are known. Configure and test sender authentication, bounce handling and delivery before external account flows.</x:v>
      </x:c>
      <x:c r="I8" s="111" t="str">
        <x:v>https://github.com/QK-Connoisseur/PDoki/tree/dev/docs/operations</x:v>
      </x:c>
      <x:c r="J8" s="112" t="n">
        <x:v>46271.666666666664</x:v>
      </x:c>
    </x:row>
    <x:row r="9" ht="55" customHeight="1">
      <x:c r="A9" s="111" t="str">
        <x:v>DEC-LLC</x:v>
      </x:c>
      <x:c r="B9" s="111" t="str">
        <x:v>P04</x:v>
      </x:c>
      <x:c r="C9" s="111" t="str">
        <x:v>Maryland LLC filed; approval pending</x:v>
      </x:c>
      <x:c r="D9" s="111" t="str">
        <x:v>Founder</x:v>
      </x:c>
      <x:c r="E9" s="112"/>
      <x:c r="F9" s="111" t="str">
        <x:v>In Progress</x:v>
      </x:c>
      <x:c r="G9" s="111" t="str">
        <x:v>Kiban Digital Holdings LLC is reported filed in Maryland through Northwest; state approval pending. Founder confirmed $196 total paid, recorded in Expense Tracker. Filing ID, EIN and bank readiness remain unverified.</x:v>
      </x:c>
      <x:c r="H9" s="111" t="str">
        <x:v>Await Maryland approval and approved documents; record invoice when available. Continue the planned P05 test-content flow while handling only the founder/provider decisions that slice needs.</x:v>
      </x:c>
      <x:c r="I9" s="111" t="str">
        <x:v>Founder reports: filing/inquiry sent September 8; CCBill Sales reply supplied September 9; $196 formation total confirmed September 10. State approval and exact correspondence times remain unverified.</x:v>
      </x:c>
      <x:c r="J9" s="112" t="n">
        <x:v>46275.666666666664</x:v>
      </x:c>
    </x:row>
    <x:row r="10" ht="55" customHeight="1">
      <x:c r="A10" s="111" t="str">
        <x:v>DEC-CCBILL</x:v>
      </x:c>
      <x:c r="B10" s="111" t="str">
        <x:v>P06</x:v>
      </x:c>
      <x:c r="C10" s="111" t="str">
        <x:v>Preliminary CCBill model fit and costs</x:v>
      </x:c>
      <x:c r="D10" s="111" t="str">
        <x:v>Founder</x:v>
      </x:c>
      <x:c r="E10" s="112"/>
      <x:c r="F10" s="111" t="str">
        <x:v>In Progress</x:v>
      </x:c>
      <x:c r="G10" s="111" t="str">
        <x:v>CCBill Sales replied: fully functioning online site required; password protection allowed. Site work is underway, including verified safe-content/R2 flow and commissioned policies. Model fit, fees/reserves, payouts and approval remain open.</x:v>
      </x:c>
      <x:c r="H10" s="111" t="str">
        <x:v>Keep the current founder step: review the working local content flow. Continue site slices and return to Sales when review-ready. The clarification follow-up remains cancelled; payment backend is not implemented.</x:v>
      </x:c>
      <x:c r="I10" s="111" t="str">
        <x:v>User-pasted CCBill Sales reply supplied September 9, 2026; sender timestamp not verified. docs/product/initial-ccbill-inquiry.md</x:v>
      </x:c>
      <x:c r="J10" s="112" t="n">
        <x:v>46275.666666666664</x:v>
      </x:c>
    </x:row>
    <x:row r="11" ht="55" customHeight="1">
      <x:c r="A11" s="111" t="str">
        <x:v>DEC-IDENTITY</x:v>
      </x:c>
      <x:c r="B11" s="111" t="str">
        <x:v>P04</x:v>
      </x:c>
      <x:c r="C11" s="111" t="str">
        <x:v>Identity-verification shortlist</x:v>
      </x:c>
      <x:c r="D11" s="111" t="str">
        <x:v>Founder</x:v>
      </x:c>
      <x:c r="E11" s="112" t="n">
        <x:v>46233.666666666664</x:v>
      </x:c>
      <x:c r="F11" s="111" t="str">
        <x:v>Blocked</x:v>
      </x:c>
      <x:c r="G11" s="111" t="str">
        <x:v>Provider/manual-beta choice, DPA, retention, countries, and security are open.</x:v>
      </x:c>
      <x:c r="H11" s="111" t="str">
        <x:v>Compare two or three providers and a controlled manual-beta boundary.</x:v>
      </x:c>
      <x:c r="I11" s="111" t="str"/>
      <x:c r="J11" s="112" t="n">
        <x:v>46255.666666666664</x:v>
      </x:c>
    </x:row>
    <x:row r="12" ht="55" customHeight="1">
      <x:c r="A12" s="111" t="str">
        <x:v>DEC-EPOCH</x:v>
      </x:c>
      <x:c r="B12" s="111" t="str">
        <x:v>P06</x:v>
      </x:c>
      <x:c r="C12" s="111" t="str">
        <x:v>Epoch terms and written cascade behavior</x:v>
      </x:c>
      <x:c r="D12" s="111" t="str">
        <x:v>Founder</x:v>
      </x:c>
      <x:c r="E12" s="112" t="n">
        <x:v>46240.666666666664</x:v>
      </x:c>
      <x:c r="F12" s="111" t="str">
        <x:v>Blocked</x:v>
      </x:c>
      <x:c r="G12" s="111" t="str">
        <x:v>Commercial and technical fallback behavior is unconfirmed.</x:v>
      </x:c>
      <x:c r="H12" s="111" t="str">
        <x:v>Obtain written account-specific confirmation before implementation.</x:v>
      </x:c>
      <x:c r="I12" s="111" t="str"/>
      <x:c r="J12" s="112" t="n">
        <x:v>46255.666666666664</x:v>
      </x:c>
    </x:row>
    <x:row r="13" ht="55" customHeight="1">
      <x:c r="A13" s="111" t="str">
        <x:v>DEC-COUNTRIES</x:v>
      </x:c>
      <x:c r="B13" s="111" t="str">
        <x:v>P04</x:v>
      </x:c>
      <x:c r="C13" s="111" t="str">
        <x:v>Initial launch country allowlist</x:v>
      </x:c>
      <x:c r="D13" s="111" t="str">
        <x:v>Founder</x:v>
      </x:c>
      <x:c r="E13" s="112" t="n">
        <x:v>46240.666666666664</x:v>
      </x:c>
      <x:c r="F13" s="111" t="str">
        <x:v>Blocked</x:v>
      </x:c>
      <x:c r="G13" s="111" t="str">
        <x:v>Operating location is confirmed as Maryland, USA. Creator/member countries remain unanswered; eligibility and service coverage remain unresolved.</x:v>
      </x:c>
      <x:c r="H13" s="111" t="str">
        <x:v>Use CCBill eligibility to narrow proposed creator/member countries. Obtain targeted legal review of unresolved country obligations before real launch.</x:v>
      </x:c>
      <x:c r="I13" s="111" t="str">
        <x:v>docs/product/initial-business-definition.md — founder answers reviewed September 6, 2026</x:v>
      </x:c>
      <x:c r="J13" s="112" t="n">
        <x:v>46255.666666666664</x:v>
      </x:c>
    </x:row>
    <x:row r="14" ht="55" customHeight="1">
      <x:c r="A14" s="111" t="str">
        <x:v>DEC-ECONOMICS</x:v>
      </x:c>
      <x:c r="B14" s="111" t="str">
        <x:v>P06</x:v>
      </x:c>
      <x:c r="C14" s="111" t="str">
        <x:v>Commission, payout and refund economics</x:v>
      </x:c>
      <x:c r="D14" s="111" t="str">
        <x:v>Founder</x:v>
      </x:c>
      <x:c r="E14" s="112" t="n">
        <x:v>46247.666666666664</x:v>
      </x:c>
      <x:c r="F14" s="111" t="str">
        <x:v>Blocked</x:v>
      </x:c>
      <x:c r="G14" s="111" t="str">
        <x:v>Founder corrected the offer: Pumdoki should recover costs without profit on founding creator sales. Processing-fees-only is superseded. Duration, fee allocation and no-loss economics are unproven.</x:v>
      </x:c>
      <x:c r="H14" s="111" t="str">
        <x:v>Validate processor costs, refunds, chargebacks, reserves and payout allocation before quoting fees. No-loss economics remain unproven.</x:v>
      </x:c>
      <x:c r="I14" s="111" t="str">
        <x:v>docs/product/initial-business-definition.md — founder answers reviewed September 6, 2026</x:v>
      </x:c>
      <x:c r="J14" s="112" t="n">
        <x:v>46274.666666666664</x:v>
      </x:c>
    </x:row>
    <x:row r="15" ht="55" customHeight="1">
      <x:c r="A15" s="111" t="str">
        <x:v>DEC-RETENTION</x:v>
      </x:c>
      <x:c r="B15" s="111" t="str">
        <x:v>P04</x:v>
      </x:c>
      <x:c r="C15" s="111" t="str">
        <x:v>Acceptance/evidence retention schedule</x:v>
      </x:c>
      <x:c r="D15" s="111" t="str">
        <x:v>Founder</x:v>
      </x:c>
      <x:c r="E15" s="112" t="n">
        <x:v>46247.666666666664</x:v>
      </x:c>
      <x:c r="F15" s="111" t="str">
        <x:v>Blocked</x:v>
      </x:c>
      <x:c r="G15" s="111" t="str">
        <x:v>Retention, pseudonymization, lawful deletion, and litigation hold are undecided.</x:v>
      </x:c>
      <x:c r="H15" s="111" t="str">
        <x:v>Obtain counsel-approved rules before deletion or operational creator onboarding.</x:v>
      </x:c>
      <x:c r="I15" s="111" t="str"/>
      <x:c r="J15" s="112" t="n">
        <x:v>46255.666666666664</x:v>
      </x:c>
    </x:row>
    <x:row r="16" ht="55" customHeight="1">
      <x:c r="A16" s="111" t="str">
        <x:v>DEC-OPS-ACCESS</x:v>
      </x:c>
      <x:c r="B16" s="111" t="str">
        <x:v>P11</x:v>
      </x:c>
      <x:c r="C16" s="111" t="str">
        <x:v>Private-admin restricted access and hardware MFA</x:v>
      </x:c>
      <x:c r="D16" s="111" t="str">
        <x:v>Founder</x:v>
      </x:c>
      <x:c r="E16" s="112" t="n">
        <x:v>46240.666666666664</x:v>
      </x:c>
      <x:c r="F16" s="111" t="str">
        <x:v>Deferred</x:v>
      </x:c>
      <x:c r="G16" s="111" t="str">
        <x:v>Slice 3 merged in PR #15. Provider-neutral dormant foundation exists; no operational provider/session/hosting activation. G1–G12 remain NOT EVALUATED.</x:v>
      </x:c>
      <x:c r="H16" s="111" t="str">
        <x:v>Operations work remains parked. Next is the planned P05 test-content flow, pairing storage decisions with code. Actual spending, deployment and live sensitive-use controls remain.</x:v>
      </x:c>
      <x:c r="I16" s="111" t="str">
        <x:v>https://github.com/QK-Connoisseur/PDoki/pull/15</x:v>
      </x:c>
      <x:c r="J16" s="112" t="n">
        <x:v>46271.666666666664</x:v>
      </x:c>
    </x:row>
    <x:row r="17" ht="55" customHeight="1">
      <x:c r="A17" s="111" t="str">
        <x:v>DEC-GWS-PRIVACY</x:v>
      </x:c>
      <x:c r="B17" s="111" t="str">
        <x:v>P14</x:v>
      </x:c>
      <x:c r="C17" s="111" t="str">
        <x:v>Google Workspace recovery-contact privacy</x:v>
      </x:c>
      <x:c r="D17" s="111" t="str">
        <x:v>Founder</x:v>
      </x:c>
      <x:c r="E17" s="112" t="n">
        <x:v>46254.666666666664</x:v>
      </x:c>
      <x:c r="F17" s="111" t="str">
        <x:v>In Progress</x:v>
      </x:c>
      <x:c r="G17" s="111" t="str">
        <x:v>Repository-safe checklist exists; private live review and independent recovery test remain.</x:v>
      </x:c>
      <x:c r="H17" s="111" t="str">
        <x:v>Review private directory/recovery surfaces and test backup access without recording personal data in Git.</x:v>
      </x:c>
      <x:c r="I17" s="111" t="str">
        <x:v>https://github.com/QK-Connoisseur/PDoki/tree/dev/docs/operations</x:v>
      </x:c>
      <x:c r="J17" s="112" t="n">
        <x:v>46255.666666666664</x:v>
      </x:c>
    </x:row>
    <x:row r="18" ht="55" customHeight="1">
      <x:c r="A18" s="111" t="str">
        <x:v>QC-EXPENSE-Y1</x:v>
      </x:c>
      <x:c r="B18" s="111" t="str">
        <x:v>P00</x:v>
      </x:c>
      <x:c r="C18" s="111" t="str">
        <x:v>Expense Tracker Year 1 formula review</x:v>
      </x:c>
      <x:c r="D18" s="111" t="str">
        <x:v>Engineering</x:v>
      </x:c>
      <x:c r="E18" s="112"/>
      <x:c r="F18" s="111" t="str">
        <x:v>Done</x:v>
      </x:c>
      <x:c r="G18" s="111" t="str">
        <x:v>Corrected historical Year 1 arithmetic: 1,980 + 170 + 18 × 12 = 2,366. The old 1,713 is retained in Expense Tracker B38. Historical cost assumptions are superseded.</x:v>
      </x:c>
      <x:c r="H18" s="111" t="str">
        <x:v>Use Launch Budget for current cash planning; replace allowances with accepted quotes in sequence.</x:v>
      </x:c>
      <x:c r="I18" s="111" t="str">
        <x:v>Expense Tracker B33:B40; Launch Budget</x:v>
      </x:c>
      <x:c r="J18" s="112" t="n">
        <x:v>46271.666666666664</x:v>
      </x:c>
    </x:row>
    <x:row r="19" ht="95" customHeight="1">
      <x:c r="A19" s="173" t="str">
        <x:v>DEC-SEQUENTIAL</x:v>
      </x:c>
      <x:c r="B19" s="173" t="str">
        <x:v>P00</x:v>
      </x:c>
      <x:c r="C19" s="173" t="str">
        <x:v>Initial business definition and sequential workflow</x:v>
      </x:c>
      <x:c r="D19" s="173" t="str">
        <x:v>Founder</x:v>
      </x:c>
      <x:c r="E19" s="173"/>
      <x:c r="F19" s="173" t="str">
        <x:v>Done</x:v>
      </x:c>
      <x:c r="G19" s="173" t="str">
        <x:v>Business definition reviewed; founder works one functional slice at a time. Necessary founder/provider decisions accompany that slice rather than preceding all code as a paperwork phase.</x:v>
      </x:c>
      <x:c r="H19" s="173" t="str">
        <x:v>R2 setup and safe-media integration verified. Next: founder reviews the working local upload/publish flow. No new provider signup, paperwork or payment task. Adult-content provider acceptance and hosted deployment remain unconfirmed.</x:v>
      </x:c>
      <x:c r="I19" s="173" t="str">
        <x:v>September 9, 2026: credential preflight, real R2 API/browser photo/video tests, Cloudflare Public Access Disabled, restart and cleanup checks passed. Evidence: HANDOFF.md. Token expiry and budget alert are not verified.</x:v>
      </x:c>
      <x:c r="J19" s="174" t="n">
        <x:v>46274.666666666664</x:v>
      </x:c>
    </x:row>
    <x:row r="20" ht="95" customHeight="1">
      <x:c r="A20" s="173" t="str">
        <x:v>DEC-LAUNCH-SCOPE</x:v>
      </x:c>
      <x:c r="B20" s="173" t="str">
        <x:v>P00</x:v>
      </x:c>
      <x:c r="C20" s="173" t="str">
        <x:v>Discovery, real-time chat and tipping remain launch scope</x:v>
      </x:c>
      <x:c r="D20" s="173" t="str">
        <x:v>Founder</x:v>
      </x:c>
      <x:c r="E20" s="173"/>
      <x:c r="F20" s="173" t="str">
        <x:v>Done</x:v>
      </x:c>
      <x:c r="G20" s="173" t="str">
        <x:v>Connect is creator discovery filtered by online status, price and language. Real-time chat and tipping remain required.</x:v>
      </x:c>
      <x:c r="H20" s="173" t="str">
        <x:v>Other confirmed launch scope remains. No automated booking expansion is implied.</x:v>
      </x:c>
      <x:c r="I20" s="173" t="str">
        <x:v>Founder decision, September 6, 2026</x:v>
      </x:c>
      <x:c r="J20" s="174" t="n">
        <x:v>46274.666666666664</x:v>
      </x:c>
    </x:row>
    <x:row r="21" ht="95" customHeight="1">
      <x:c r="A21" s="173" t="str">
        <x:v>DEC-OASIS-CANCEL</x:v>
      </x:c>
      <x:c r="B21" s="173" t="str">
        <x:v>P12</x:v>
      </x:c>
      <x:c r="C21" s="173" t="str">
        <x:v>Cancel the old Oasis/Drimy game</x:v>
      </x:c>
      <x:c r="D21" s="173" t="str">
        <x:v>Founder</x:v>
      </x:c>
      <x:c r="E21" s="173"/>
      <x:c r="F21" s="173" t="str">
        <x:v>Done</x:v>
      </x:c>
      <x:c r="G21" s="173" t="str">
        <x:v>The collectible pet/game, XP, Orbs, evolution, inventory and reward economy are cancelled. Historical prototype records are retained.</x:v>
      </x:c>
      <x:c r="H21" s="173" t="str">
        <x:v>Do not build the old game or count it as a launch gate.</x:v>
      </x:c>
      <x:c r="I21" s="173" t="str">
        <x:v>Founder decision, September 6, 2026</x:v>
      </x:c>
      <x:c r="J21" s="174" t="n">
        <x:v>46271.666666666664</x:v>
      </x:c>
    </x:row>
    <x:row r="22" ht="95" customHeight="1">
      <x:c r="A22" s="173" t="str">
        <x:v>DEC-OASIS-NEW</x:v>
      </x:c>
      <x:c r="B22" s="173" t="str">
        <x:v>POST</x:v>
      </x:c>
      <x:c r="C22" s="173" t="str">
        <x:v>Future streaks and playful language concept</x:v>
      </x:c>
      <x:c r="D22" s="173" t="str">
        <x:v>Founder</x:v>
      </x:c>
      <x:c r="E22" s="173"/>
      <x:c r="F22" s="173" t="str">
        <x:v>Deferred</x:v>
      </x:c>
      <x:c r="G22" s="173" t="str">
        <x:v>Oasis name may be reused for day/friend streaks and playful adult language/profanity learning, including optional roasting. This is a future concept, not the old game.</x:v>
      </x:c>
      <x:c r="H22" s="173" t="str">
        <x:v>Define after launch. No implementation, paid randomized mechanics or new launch gate is approved.</x:v>
      </x:c>
      <x:c r="I22" s="173" t="str">
        <x:v>Founder decision, September 6, 2026</x:v>
      </x:c>
      <x:c r="J22" s="174" t="n">
        <x:v>46271.666666666664</x:v>
      </x:c>
    </x:row>
    <x:row r="23" ht="95" customHeight="1">
      <x:c r="A23" s="173" t="str">
        <x:v>DEC-FOUNDING-OFFER</x:v>
      </x:c>
      <x:c r="B23" s="173" t="str">
        <x:v>P06</x:v>
      </x:c>
      <x:c r="C23" s="173" t="str">
        <x:v>Founding creator acquisition and benefits</x:v>
      </x:c>
      <x:c r="D23" s="173" t="str">
        <x:v>Founder</x:v>
      </x:c>
      <x:c r="E23" s="173"/>
      <x:c r="F23" s="173" t="str">
        <x:v>In Progress</x:v>
      </x:c>
      <x:c r="G23" s="173" t="str">
        <x:v>Two contacts could help recruit 50–100 creators; these are prospects, not commitments. Founder badge and cost recovery with no profit on founder sales remain the direction. About 500 is a longer target.</x:v>
      </x:c>
      <x:c r="H23" s="173" t="str">
        <x:v>Define first-cohort eligibility, countries, duration and cost allocation after counsel/processor fit. No-loss economics and Plus/top 100 benefits remain unproven.</x:v>
      </x:c>
      <x:c r="I23" s="173" t="str">
        <x:v>docs/product/initial-business-definition.md — founder answers reviewed September 6, 2026</x:v>
      </x:c>
      <x:c r="J23" s="174" t="n">
        <x:v>46271.666666666664</x:v>
      </x:c>
    </x:row>
    <x:row r="24" ht="95" customHeight="1">
      <x:c r="A24" s="173" t="str">
        <x:v>DEC-PLUS-IDEAS</x:v>
      </x:c>
      <x:c r="B24" s="173" t="str">
        <x:v>POST</x:v>
      </x:c>
      <x:c r="C24" s="173" t="str">
        <x:v>Plus rewards, leaderboard and visual feedback</x:v>
      </x:c>
      <x:c r="D24" s="173" t="str">
        <x:v>Founder</x:v>
      </x:c>
      <x:c r="E24" s="173"/>
      <x:c r="F24" s="173" t="str">
        <x:v>Deferred</x:v>
      </x:c>
      <x:c r="G24" s="173" t="str">
        <x:v>Top 100 free Plus memberships, leaderboard, avatar decoration, animations, sounds and lively marketing are ideas. No reward cost/duration or entitlement promise is approved.</x:v>
      </x:c>
      <x:c r="H24" s="173" t="str">
        <x:v>Revisit after core launch economics. Keep static themes; motion needs separate accessibility/performance review.</x:v>
      </x:c>
      <x:c r="I24" s="173" t="str">
        <x:v>Founder direction, September 6, 2026</x:v>
      </x:c>
      <x:c r="J24" s="174" t="n">
        <x:v>46271.666666666664</x:v>
      </x:c>
    </x:row>
    <x:row r="25" ht="95" customHeight="1">
      <x:c r="A25" s="173" t="str">
        <x:v>DEC-CASH-20260906</x:v>
      </x:c>
      <x:c r="B25" s="173" t="str">
        <x:v>P00</x:v>
      </x:c>
      <x:c r="C25" s="173" t="str">
        <x:v>Frugal staged budget</x:v>
      </x:c>
      <x:c r="D25" s="173" t="str">
        <x:v>Founder</x:v>
      </x:c>
      <x:c r="E25" s="173"/>
      <x:c r="F25" s="173" t="str">
        <x:v>In Progress</x:v>
      </x:c>
      <x:c r="G25" s="173" t="str">
        <x:v>Founder now reports a $1,800 monthly ceiling and proposed recruiter/helper $300–$400/month. Inclusion in that ceiling and overlap with budget backup allowance are unconfirmed. Earlier cash assumptions remain.</x:v>
      </x:c>
      <x:c r="H25" s="173" t="str">
        <x:v>Founder confirmed $196 Northwest formation and $1,100 policy drafting purchased on September 10. Actuals recorded in Expense Tracker; allowances unchanged. Monthly funding/helper overlap remains unresolved.</x:v>
      </x:c>
      <x:c r="I25" s="173" t="str">
        <x:v>Founder funding statements September 6 and purchase confirmations September 10, 2026</x:v>
      </x:c>
      <x:c r="J25" s="174" t="n">
        <x:v>46275.666666666664</x:v>
      </x:c>
    </x:row>
    <x:row r="26" ht="95" customHeight="1">
      <x:c r="A26" s="173" t="str">
        <x:v>DEC-HUMAN-REVIEW</x:v>
      </x:c>
      <x:c r="B26" s="173" t="str">
        <x:v>P14</x:v>
      </x:c>
      <x:c r="C26" s="173" t="str">
        <x:v>Human review timing and limited scopes</x:v>
      </x:c>
      <x:c r="D26" s="173" t="str">
        <x:v>Founder</x:v>
      </x:c>
      <x:c r="E26" s="173"/>
      <x:c r="F26" s="173" t="str">
        <x:v>Ready</x:v>
      </x:c>
      <x:c r="G26" s="173" t="str">
        <x:v>Use DIY work, suitable Fiverr specialists and drafts to control cost. Necessary legal work uses a qualified lawyer reviewing the actual model. Record the reviewed version, corrections and remaining limitations.</x:v>
      </x:c>
      <x:c r="H26" s="173" t="str">
        <x:v>Use targeted reviews alongside relevant implementation and before live sensitive use. Controlled test implementation does not wait for blanket paid pre-code review. Independent integrated assessment and retest remain before real launch.</x:v>
      </x:c>
      <x:c r="I26" s="173" t="str">
        <x:v>Founder correction, September 9, 2026: cancel proposed CCBill follow-up; develop functioning slices with relevant founder/provider work alongside code. PLAN.md §9 and §20</x:v>
      </x:c>
      <x:c r="J26" s="174" t="n">
        <x:v>46273.666666666664</x:v>
      </x:c>
    </x:row>
    <x:row r="27" ht="95" customHeight="1">
      <x:c r="A27" s="173" t="str">
        <x:v>DEC-LEGAL-UI-TRUTH</x:v>
      </x:c>
      <x:c r="B27" s="173" t="str">
        <x:v>P04</x:v>
      </x:c>
      <x:c r="C27" s="173" t="str">
        <x:v>Truthful prototype legal UI and production replacement</x:v>
      </x:c>
      <x:c r="D27" s="173" t="str">
        <x:v>Engineering</x:v>
      </x:c>
      <x:c r="E27" s="173"/>
      <x:c r="F27" s="173" t="str">
        <x:v>Done</x:v>
      </x:c>
      <x:c r="G27" s="173" t="str">
        <x:v>Truthful prototype legal cleanup is pushed to dev in 56cb0ad. Local web219, contracts24, non-database API273 and builds passed. Production policies and processes remain unfinished.</x:v>
      </x:c>
      <x:c r="H27" s="173" t="str">
        <x:v>Ship truthful placeholder copy with the next approved website release. Before public launch, counsel approves final policies and operators verify actual contacts/processes; deployment is separate from a Git merge.</x:v>
      </x:c>
      <x:c r="I27" s="173" t="str">
        <x:v>https://github.com/QK-Connoisseur/PDoki/commit/56cb0adaffa4896aa9d54257b4eecfe18804bb54</x:v>
      </x:c>
      <x:c r="J27" s="174" t="n">
        <x:v>46271.666666666664</x:v>
      </x:c>
    </x:row>
    <x:row r="28" ht="95" customHeight="1">
      <x:c r="A28" s="173"/>
      <x:c r="B28" s="173"/>
      <x:c r="C28" s="173"/>
      <x:c r="D28" s="173"/>
      <x:c r="E28" s="173"/>
      <x:c r="F28" s="173"/>
      <x:c r="G28" s="173"/>
      <x:c r="H28" s="173"/>
      <x:c r="I28" s="173"/>
      <x:c r="J28" s="174"/>
    </x:row>
  </x:sheetData>
  <x:mergeCells>
    <x:mergeCell ref="A1:J1"/>
    <x:mergeCell ref="A2:J2"/>
  </x:mergeCells>
  <x:conditionalFormatting sqref="F4:F18">
    <x:cfRule type="containsText" dxfId="61" priority="1" operator="containsText" text="Done"/>
    <x:cfRule type="containsText" dxfId="62" priority="2" operator="containsText" text="In Progress"/>
    <x:cfRule type="containsText" dxfId="63" priority="3" operator="containsText" text="In Review"/>
    <x:cfRule type="containsText" dxfId="64" priority="4" operator="containsText" text="Blocked"/>
    <x:cfRule type="containsText" dxfId="65" priority="5" operator="containsText" text="Not Started"/>
    <x:cfRule type="containsText" dxfId="66" priority="6" operator="containsText" text="Ready"/>
  </x:conditionalFormatting>
  <x:conditionalFormatting sqref="F4:F28">
    <x:cfRule type="containsText" dxfId="67" priority="7" operator="containsText" text="Deferred"/>
  </x:conditionalFormatting>
  <x:dataValidations count="2">
    <x:dataValidation type="list" sqref="F4:F18">
      <x:formula1>"Not Started,Ready,In Progress,In Review,Blocked,Done,Deferred"</x:formula1>
    </x:dataValidation>
    <x:dataValidation type="list" sqref="D4:D18">
      <x:formula1>"Founder,Engineering,Operations,Counsel,Unassigned"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6f89c65da0402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87" hidden="0" customWidth="1"/>
  </x:cols>
  <x:sheetData>
    <x:row r="1" ht="35" customHeight="1">
      <x:c r="A1" s="184" t="str">
        <x:v>Pumdoki launch budget</x:v>
      </x:c>
      <x:c r="B1" s="179"/>
      <x:c r="C1" s="179"/>
      <x:c r="D1" s="177"/>
    </x:row>
    <x:row r="2" ht="48" customHeight="1">
      <x:c r="A2" s="177" t="str">
        <x:v>September 10, 2026</x:v>
      </x:c>
      <x:c r="B2" s="179"/>
      <x:c r="C2" s="179"/>
      <x:c r="D2" s="177" t="str">
        <x:v>USD. Planning allowances, not quotes or permission to spend. Founder labor is unpaid.</x:v>
      </x:c>
    </x:row>
    <x:row r="3" ht="32" customHeight="1">
      <x:c r="A3" s="177"/>
      <x:c r="B3" s="179"/>
      <x:c r="C3" s="179"/>
      <x:c r="D3" s="177"/>
    </x:row>
    <x:row r="4" ht="32" customHeight="1">
      <x:c r="A4" s="187" t="str">
        <x:v>Funding and cash needs</x:v>
      </x:c>
      <x:c r="B4" s="188" t="str">
        <x:v>Lower case</x:v>
      </x:c>
      <x:c r="C4" s="188" t="str">
        <x:v>Upper case</x:v>
      </x:c>
      <x:c r="D4" s="187" t="str">
        <x:v>Meaning</x:v>
      </x:c>
    </x:row>
    <x:row r="5" ht="32" customHeight="1">
      <x:c r="A5" s="177" t="str">
        <x:v>Available now</x:v>
      </x:c>
      <x:c r="B5" s="190" t="n">
        <x:v>1000</x:v>
      </x:c>
      <x:c r="C5" s="190" t="n">
        <x:v>5000</x:v>
      </x:c>
      <x:c r="D5" s="177" t="str">
        <x:v>Earlier total-cash assumption retained. New user-reported $1,800 monthly ceiling is not lump-sum cash or funded runway; sustainability is unconfirmed.</x:v>
      </x:c>
    </x:row>
    <x:row r="6" ht="32" customHeight="1">
      <x:c r="A6" s="177" t="str">
        <x:v>Possible additional cash</x:v>
      </x:c>
      <x:c r="B6" s="190" t="n">
        <x:v>5000</x:v>
      </x:c>
      <x:c r="C6" s="190" t="n">
        <x:v>5000</x:v>
      </x:c>
      <x:c r="D6" s="177" t="str">
        <x:v>Uncommitted over coming months; excluded from funded cash.</x:v>
      </x:c>
    </x:row>
    <x:row r="7" ht="32" customHeight="1">
      <x:c r="A7" s="177" t="str">
        <x:v>Funded cash</x:v>
      </x:c>
      <x:c r="B7" s="199" t="n">
        <x:f>B5</x:f>
        <x:v>1000</x:v>
      </x:c>
      <x:c r="C7" s="199" t="n">
        <x:f>C5</x:f>
        <x:v>5000</x:v>
      </x:c>
      <x:c r="D7" s="177" t="str">
        <x:v>Uses current cash only.</x:v>
      </x:c>
    </x:row>
    <x:row r="8" ht="48" customHeight="1">
      <x:c r="A8" s="177" t="str">
        <x:v>Setup incl. contingency</x:v>
      </x:c>
      <x:c r="B8" s="199" t="n">
        <x:f>B36</x:f>
        <x:v>8170.8</x:v>
      </x:c>
      <x:c r="C8" s="199" t="n">
        <x:f>C36</x:f>
        <x:v>20469</x:v>
      </x:c>
      <x:c r="D8" s="177" t="str">
        <x:v>Includes discovery, scoped reviews, initial verification and first-year card registration benchmark.</x:v>
      </x:c>
    </x:row>
    <x:row r="9" ht="48" customHeight="1">
      <x:c r="A9" s="177" t="str">
        <x:v>Monthly operating allowance</x:v>
      </x:c>
      <x:c r="B9" s="199" t="n">
        <x:f>B45</x:f>
        <x:v>309</x:v>
      </x:c>
      <x:c r="C9" s="199" t="n">
        <x:f>C45</x:f>
        <x:v>1179</x:v>
      </x:c>
      <x:c r="D9" s="177" t="str">
        <x:v>Small invited pilot; excludes transaction-linked expenses and annual renewals already paid in setup.</x:v>
      </x:c>
    </x:row>
    <x:row r="10" ht="32" customHeight="1">
      <x:c r="A10" s="177" t="str">
        <x:v>Runway months</x:v>
      </x:c>
      <x:c r="B10" s="192" t="n">
        <x:v>3</x:v>
      </x:c>
      <x:c r="C10" s="192" t="n">
        <x:v>3</x:v>
      </x:c>
      <x:c r="D10" s="177" t="str">
        <x:v>Planning input; revenue is not assumed to cover costs.</x:v>
      </x:c>
    </x:row>
    <x:row r="11" ht="32" customHeight="1">
      <x:c r="A11" s="177" t="str">
        <x:v>Operating runway</x:v>
      </x:c>
      <x:c r="B11" s="199" t="n">
        <x:f>B9*B10</x:f>
        <x:v>927</x:v>
      </x:c>
      <x:c r="C11" s="199" t="n">
        <x:f>C9*C10</x:f>
        <x:v>3537</x:v>
      </x:c>
      <x:c r="D11" s="177" t="str">
        <x:v>Monthly allowance × runway months.</x:v>
      </x:c>
    </x:row>
    <x:row r="12" ht="48" customHeight="1">
      <x:c r="A12" s="177" t="str">
        <x:v>Working cash buffer</x:v>
      </x:c>
      <x:c r="B12" s="190" t="n">
        <x:v>1000</x:v>
      </x:c>
      <x:c r="C12" s="190" t="n">
        <x:v>3000</x:v>
      </x:c>
      <x:c r="D12" s="177" t="str">
        <x:v>Ring-fenced cash, not an expense or provider deposit quote. Does not cover an unknown processor reserve.</x:v>
      </x:c>
    </x:row>
    <x:row r="13" ht="48" customHeight="1">
      <x:c r="A13" s="200" t="str">
        <x:v>Baseline cash target</x:v>
      </x:c>
      <x:c r="B13" s="201" t="n">
        <x:f>B8+B11+B12</x:f>
        <x:v>10097.8</x:v>
      </x:c>
      <x:c r="C13" s="201" t="n">
        <x:f>C8+C11+C12</x:f>
        <x:v>27006</x:v>
      </x:c>
      <x:c r="D13" s="200" t="str">
        <x:v>Setup + runway + working cash. Unknown deposits, processing/usage excesses, tax, insurance and professional requirements can raise this.</x:v>
      </x:c>
    </x:row>
    <x:row r="14" ht="32" customHeight="1">
      <x:c r="A14" s="200" t="str">
        <x:v>Gap using current cash</x:v>
      </x:c>
      <x:c r="B14" s="201" t="n">
        <x:f>MAX(0,B13-B7)</x:f>
        <x:v>9097.8</x:v>
      </x:c>
      <x:c r="C14" s="201" t="n">
        <x:f>MAX(0,C13-C7)</x:f>
        <x:v>22006</x:v>
      </x:c>
      <x:c r="D14" s="200" t="str">
        <x:v>Positive amount needs more funding or a lower quoted scope before activation.</x:v>
      </x:c>
    </x:row>
    <x:row r="15" ht="32" customHeight="1">
      <x:c r="A15" s="200" t="str">
        <x:v>Gap if full $10k becomes funded</x:v>
      </x:c>
      <x:c r="B15" s="201" t="n">
        <x:f>MAX(0,B13-$C$5-$C$6)</x:f>
        <x:v>97.79999999999927</x:v>
      </x:c>
      <x:c r="C15" s="201" t="n">
        <x:f>MAX(0,C13-$C$5-$C$6)</x:f>
        <x:v>17006</x:v>
      </x:c>
      <x:c r="D15" s="200" t="str">
        <x:v>Uses maximum current $5,000 + possible $5,000 later. Sensitivity only; additional cash is uncommitted.</x:v>
      </x:c>
    </x:row>
    <x:row r="16" ht="32" customHeight="1">
      <x:c r="A16" s="177"/>
      <x:c r="B16" s="179"/>
      <x:c r="C16" s="179"/>
      <x:c r="D16" s="177"/>
    </x:row>
    <x:row r="17" ht="48" customHeight="1">
      <x:c r="A17" s="177" t="str">
        <x:v>Next: review the working local R2 flow</x:v>
      </x:c>
      <x:c r="B17" s="179"/>
      <x:c r="C17" s="179"/>
      <x:c r="D17" s="177" t="str">
        <x:v>R2 connection verified. $0 was due at activation only; subsequent usage is metered. Proposed $5/month budget is not a hard cap. Budget-alert setup is unverified.</x:v>
      </x:c>
    </x:row>
    <x:row r="18" ht="64" customHeight="1">
      <x:c r="A18" s="177" t="str">
        <x:v>Low case is not a launch quote</x:v>
      </x:c>
      <x:c r="B18" s="179"/>
      <x:c r="C18" s="179"/>
      <x:c r="D18" s="177" t="str">
        <x:v>Pilot counts remain planning assumptions. Two contacts may help recruit 50–100 creators; no committed cohort or creator/member countries were supplied.</x:v>
      </x:c>
    </x:row>
    <x:row r="19" ht="32" customHeight="1">
      <x:c r="A19" s="177"/>
      <x:c r="B19" s="179"/>
      <x:c r="C19" s="179"/>
      <x:c r="D19" s="177"/>
    </x:row>
    <x:row r="20" ht="32" customHeight="1">
      <x:c r="A20" s="187" t="str">
        <x:v>Setup and review allowances</x:v>
      </x:c>
      <x:c r="B20" s="188" t="str">
        <x:v>Lower case</x:v>
      </x:c>
      <x:c r="C20" s="188" t="str">
        <x:v>Upper case</x:v>
      </x:c>
      <x:c r="D20" s="187" t="str">
        <x:v>When / basis</x:v>
      </x:c>
    </x:row>
    <x:row r="21" ht="48" customHeight="1">
      <x:c r="A21" s="177" t="str">
        <x:v>Targeted legal advice allowance</x:v>
      </x:c>
      <x:c r="B21" s="190" t="n">
        <x:v>300</x:v>
      </x:c>
      <x:c r="C21" s="190" t="n">
        <x:v>800</x:v>
      </x:c>
      <x:c r="D21" s="177" t="str">
        <x:v>Optional scoped advice for unresolved material issues. This allowance is separate from the purchased policy-document drafting bundle. Amount unchanged.</x:v>
      </x:c>
    </x:row>
    <x:row r="22" ht="48" customHeight="1">
      <x:c r="A22" s="177" t="str">
        <x:v>Targeted tax / accounting advice</x:v>
      </x:c>
      <x:c r="B22" s="190" t="n">
        <x:v>100</x:v>
      </x:c>
      <x:c r="C22" s="190" t="n">
        <x:v>300</x:v>
      </x:c>
      <x:c r="D22" s="177" t="str">
        <x:v>Use when a specific tax or accounting question needs professional advice. Founder reports LLC filed; state approval pending. Unquoted allowance unchanged.</x:v>
      </x:c>
    </x:row>
    <x:row r="23" ht="48" customHeight="1">
      <x:c r="A23" s="200" t="str">
        <x:v>Initial advice allowances subtotal</x:v>
      </x:c>
      <x:c r="B23" s="201" t="n">
        <x:f>SUM(B21:B22)</x:f>
        <x:v>400</x:v>
      </x:c>
      <x:c r="C23" s="201" t="n">
        <x:f>SUM(C21:C22)</x:f>
        <x:v>1100</x:v>
      </x:c>
      <x:c r="D23" s="200" t="str">
        <x:v>Reserve for necessary questions. This is not a required discovery purchase or a commitment to spend.</x:v>
      </x:c>
    </x:row>
    <x:row r="24" ht="48" customHeight="1">
      <x:c r="A24" s="177" t="str">
        <x:v>Entity, domain and admin setup</x:v>
      </x:c>
      <x:c r="B24" s="190" t="n">
        <x:v>250</x:v>
      </x:c>
      <x:c r="C24" s="190" t="n">
        <x:v>900</x:v>
      </x:c>
      <x:c r="D24" s="177" t="str">
        <x:v>Founder confirmed $196 total paid to Northwest for Kiban Digital Holdings LLC. Maryland approval pending. Actual is in Expense Tracker; this planning allowance is unchanged.</x:v>
      </x:c>
    </x:row>
    <x:row r="25" ht="48" customHeight="1">
      <x:c r="A25" s="177" t="str">
        <x:v>Legal document drafting / review</x:v>
      </x:c>
      <x:c r="B25" s="190" t="n">
        <x:v>2000</x:v>
      </x:c>
      <x:c r="C25" s="190" t="n">
        <x:v>6000</x:v>
      </x:c>
      <x:c r="D25" s="177" t="str">
        <x:v>Suzanne Lawyer on Fiverr hired for the $1,100 policy-document bundle. Delivery and substantive approval pending. Actual is in Expense Tracker; planning allowance unchanged.</x:v>
      </x:c>
    </x:row>
    <x:row r="26" ht="48" customHeight="1">
      <x:c r="A26" s="177" t="str">
        <x:v>Scoped architecture review</x:v>
      </x:c>
      <x:c r="B26" s="190" t="n">
        <x:v>500</x:v>
      </x:c>
      <x:c r="C26" s="190" t="n">
        <x:v>1500</x:v>
      </x:c>
      <x:c r="D26" s="177" t="str">
        <x:v>Targeted backend/security review accompanies relevant code and precedes live sensitive use. No blanket paid pre-code review gate for controlled test implementation. Unquoted allowance unchanged.</x:v>
      </x:c>
    </x:row>
    <x:row r="27" ht="48" customHeight="1">
      <x:c r="A27" s="177" t="str">
        <x:v>Integrated security review + retest</x:v>
      </x:c>
      <x:c r="B27" s="190" t="n">
        <x:v>1500</x:v>
      </x:c>
      <x:c r="C27" s="190" t="n">
        <x:v>5000</x:v>
      </x:c>
      <x:c r="D27" s="177" t="str">
        <x:v>Before real users, IDs, creator content or money. Independent scoped assessment of integrated system; quote may exceed allowance.</x:v>
      </x:c>
    </x:row>
    <x:row r="28" ht="48" customHeight="1">
      <x:c r="A28" s="177" t="str">
        <x:v>Visa high-risk annual registration</x:v>
      </x:c>
      <x:c r="B28" s="190" t="n">
        <x:v>950</x:v>
      </x:c>
      <x:c r="C28" s="190" t="n">
        <x:v>950</x:v>
      </x:c>
      <x:c r="D28" s="177" t="str">
        <x:v>CCBill published benchmark, subject to account/region/category confirmation. First year included; renews annually.</x:v>
      </x:c>
    </x:row>
    <x:row r="29" ht="48" customHeight="1">
      <x:c r="A29" s="177" t="str">
        <x:v>Mastercard high-risk annual fee</x:v>
      </x:c>
      <x:c r="B29" s="190" t="n">
        <x:v>1000</x:v>
      </x:c>
      <x:c r="C29" s="190" t="n">
        <x:v>1000</x:v>
      </x:c>
      <x:c r="D29" s="177" t="str">
        <x:v>CCBill US/Canada published benchmark; EU/UK page lists $500. Actual entity and underwriting determine applicability.</x:v>
      </x:c>
    </x:row>
    <x:row r="30" ht="48" customHeight="1">
      <x:c r="A30" s="177" t="str">
        <x:v>Initial creator verification batch</x:v>
      </x:c>
      <x:c r="B30" s="199" t="n">
        <x:f>MAX(B56,B54*B55)</x:f>
        <x:v>99</x:v>
      </x:c>
      <x:c r="C30" s="199" t="n">
        <x:f>MAX(C56,C54*C55)</x:f>
        <x:v>250</x:v>
      </x:c>
      <x:c r="D30" s="177" t="str">
        <x:v>MAX(monthly minimum, invited creators × per-check allowance). Before the three operating months; repeats and extra performers add cost.</x:v>
      </x:c>
    </x:row>
    <x:row r="31" ht="48" customHeight="1">
      <x:c r="A31" s="177" t="str">
        <x:v>Fiverr buyer fee on tech reviews</x:v>
      </x:c>
      <x:c r="B31" s="199" t="n">
        <x:f>SUM(B26:B27)*B57</x:f>
        <x:v>110</x:v>
      </x:c>
      <x:c r="C31" s="199" t="n">
        <x:f>SUM(C26:C27)*C57</x:f>
        <x:v>357.5</x:v>
      </x:c>
      <x:c r="D31" s="177" t="str">
        <x:v>5.5% of the two technical review allowances. No split orders or purchases under $200 assumed; taxes extra.</x:v>
      </x:c>
    </x:row>
    <x:row r="32" ht="48" customHeight="1">
      <x:c r="A32" s="177" t="str">
        <x:v>Incremental setup subtotal</x:v>
      </x:c>
      <x:c r="B32" s="199" t="n">
        <x:f>SUM(B24:B31)</x:f>
        <x:v>6409</x:v>
      </x:c>
      <x:c r="C32" s="199" t="n">
        <x:f>SUM(C24:C31)</x:f>
        <x:v>15957.5</x:v>
      </x:c>
      <x:c r="D32" s="177" t="str">
        <x:v>Excludes discovery subtotal. Professional service figures are allowances only.</x:v>
      </x:c>
    </x:row>
    <x:row r="33" ht="32" customHeight="1">
      <x:c r="A33" s="177" t="str">
        <x:v>Setup before contingency</x:v>
      </x:c>
      <x:c r="B33" s="199" t="n">
        <x:f>B23+B32</x:f>
        <x:v>6809</x:v>
      </x:c>
      <x:c r="C33" s="199" t="n">
        <x:f>C23+C32</x:f>
        <x:v>17057.5</x:v>
      </x:c>
      <x:c r="D33" s="177" t="str">
        <x:v>Discovery + incremental setup.</x:v>
      </x:c>
    </x:row>
    <x:row r="34" ht="48" customHeight="1">
      <x:c r="A34" s="177" t="str">
        <x:v>Contingency rate</x:v>
      </x:c>
      <x:c r="B34" s="194" t="n">
        <x:v>0.2</x:v>
      </x:c>
      <x:c r="C34" s="194" t="n">
        <x:v>0.2</x:v>
      </x:c>
      <x:c r="D34" s="177" t="str">
        <x:v>Planning allowance for scoped remediation and quote variance; not a completeness guarantee.</x:v>
      </x:c>
    </x:row>
    <x:row r="35" ht="32" customHeight="1">
      <x:c r="A35" s="177" t="str">
        <x:v>Contingency amount</x:v>
      </x:c>
      <x:c r="B35" s="199" t="n">
        <x:f>B33*B34</x:f>
        <x:v>1361.8000000000002</x:v>
      </x:c>
      <x:c r="C35" s="199" t="n">
        <x:f>C33*C34</x:f>
        <x:v>3411.5</x:v>
      </x:c>
      <x:c r="D35" s="177"/>
    </x:row>
    <x:row r="36" ht="48" customHeight="1">
      <x:c r="A36" s="200" t="str">
        <x:v>Setup including contingency</x:v>
      </x:c>
      <x:c r="B36" s="201" t="n">
        <x:f>B33+B35</x:f>
        <x:v>8170.8</x:v>
      </x:c>
      <x:c r="C36" s="201" t="n">
        <x:f>C33+C35</x:f>
        <x:v>20469</x:v>
      </x:c>
      <x:c r="D36" s="200" t="str">
        <x:v>Founder coding time, household expenses and existing AI subscriptions excluded.</x:v>
      </x:c>
    </x:row>
    <x:row r="37" ht="32" customHeight="1">
      <x:c r="A37" s="177"/>
      <x:c r="B37" s="179"/>
      <x:c r="C37" s="179"/>
      <x:c r="D37" s="177"/>
    </x:row>
    <x:row r="38" ht="32" customHeight="1">
      <x:c r="A38" s="177"/>
      <x:c r="B38" s="179"/>
      <x:c r="C38" s="179"/>
      <x:c r="D38" s="177"/>
    </x:row>
    <x:row r="39" ht="32" customHeight="1">
      <x:c r="A39" s="187" t="str">
        <x:v>Monthly pilot allowance</x:v>
      </x:c>
      <x:c r="B39" s="188" t="str">
        <x:v>Lower case</x:v>
      </x:c>
      <x:c r="C39" s="188" t="str">
        <x:v>Upper case</x:v>
      </x:c>
      <x:c r="D39" s="187" t="str">
        <x:v>What is included / unresolved</x:v>
      </x:c>
    </x:row>
    <x:row r="40" ht="48" customHeight="1">
      <x:c r="A40" s="177" t="str">
        <x:v>Compute, database, storage, backups</x:v>
      </x:c>
      <x:c r="B40" s="190" t="n">
        <x:v>75</x:v>
      </x:c>
      <x:c r="C40" s="190" t="n">
        <x:v>250</x:v>
      </x:c>
      <x:c r="D40" s="177" t="str">
        <x:v>Planning allowance for small staging/production footprint. No free-tier expiry assumption. Actual service shape and adult-content terms unselected.</x:v>
      </x:c>
    </x:row>
    <x:row r="41" ht="48" customHeight="1">
      <x:c r="A41" s="177" t="str">
        <x:v>Email and monitoring tools</x:v>
      </x:c>
      <x:c r="B41" s="190" t="n">
        <x:v>10</x:v>
      </x:c>
      <x:c r="C41" s="190" t="n">
        <x:v>30</x:v>
      </x:c>
      <x:c r="D41" s="177" t="str">
        <x:v>Allowance only. Choose provider later after business/provider fit and before external auth flows; no provider selected.</x:v>
      </x:c>
    </x:row>
    <x:row r="42" ht="48" customHeight="1">
      <x:c r="A42" s="177" t="str">
        <x:v>Bookkeeping / annual admin provision</x:v>
      </x:c>
      <x:c r="B42" s="190" t="n">
        <x:v>25</x:v>
      </x:c>
      <x:c r="C42" s="190" t="n">
        <x:v>150</x:v>
      </x:c>
      <x:c r="D42" s="177" t="str">
        <x:v>Cash planning for records, filings and later tax advice; actual taxes and insurance are unpriced.</x:v>
      </x:c>
    </x:row>
    <x:row r="43" ht="48" customHeight="1">
      <x:c r="A43" s="177" t="str">
        <x:v>Identity provider monthly minimum</x:v>
      </x:c>
      <x:c r="B43" s="190" t="n">
        <x:v>99</x:v>
      </x:c>
      <x:c r="C43" s="190" t="n">
        <x:v>149</x:v>
      </x:c>
      <x:c r="D43" s="177" t="str">
        <x:v>Benchmark only, not provider selection. Additional member age checks, new creators, rechecks and retention add variable cost.</x:v>
      </x:c>
    </x:row>
    <x:row r="44" ht="48" customHeight="1">
      <x:c r="A44" s="177" t="str">
        <x:v>Paid moderation / support backup</x:v>
      </x:c>
      <x:c r="B44" s="190" t="n">
        <x:v>100</x:v>
      </x:c>
      <x:c r="C44" s="190" t="n">
        <x:v>600</x:v>
      </x:c>
      <x:c r="D44" s="177" t="str">
        <x:v>Proposed Discord recruiter/helper: $300–$400/month. Inclusion in $1,800 ceiling and overlap with this $100–$600 backup allowance are unconfirmed; no amount added. Scope/coverage remain unverified.</x:v>
      </x:c>
    </x:row>
    <x:row r="45" ht="48" customHeight="1">
      <x:c r="A45" s="200" t="str">
        <x:v>Monthly operating allowance</x:v>
      </x:c>
      <x:c r="B45" s="201" t="n">
        <x:f>SUM(B40:B44)</x:f>
        <x:v>309</x:v>
      </x:c>
      <x:c r="C45" s="201" t="n">
        <x:f>SUM(C40:C44)</x:f>
        <x:v>1179</x:v>
      </x:c>
      <x:c r="D45" s="200" t="str">
        <x:v>Beyond pilot volume or founder capacity, replace with a staffing and usage quote before expanding.</x:v>
      </x:c>
    </x:row>
    <x:row r="46" ht="32" customHeight="1">
      <x:c r="A46" s="177"/>
      <x:c r="B46" s="179"/>
      <x:c r="C46" s="179"/>
      <x:c r="D46" s="177"/>
    </x:row>
    <x:row r="47" ht="48" customHeight="1">
      <x:c r="A47" s="177" t="str">
        <x:v>Annual card renewal after year one</x:v>
      </x:c>
      <x:c r="B47" s="199" t="n">
        <x:f>SUM(B28:B29)</x:f>
        <x:v>1950</x:v>
      </x:c>
      <x:c r="C47" s="199" t="n">
        <x:f>SUM(C28:C29)</x:f>
        <x:v>1950</x:v>
      </x:c>
      <x:c r="D47" s="177" t="str">
        <x:v>Already included in first-year setup; reserve for later renewal separately as dates become known.</x:v>
      </x:c>
    </x:row>
    <x:row r="48" ht="32" customHeight="1">
      <x:c r="A48" s="177"/>
      <x:c r="B48" s="179"/>
      <x:c r="C48" s="179"/>
      <x:c r="D48" s="177"/>
    </x:row>
    <x:row r="49" ht="64" customHeight="1">
      <x:c r="A49" s="177" t="str">
        <x:v>Variable cost and cash obligations</x:v>
      </x:c>
      <x:c r="B49" s="179"/>
      <x:c r="C49" s="179"/>
      <x:c r="D49" s="177" t="str">
        <x:v>Processor rate, fixed fees, refunds, chargebacks, payout/FX fees, member age checks, media processing/moderation and usage excesses: request quotes; no zero-cost assumption.</x:v>
      </x:c>
    </x:row>
    <x:row r="50" ht="64" customHeight="1">
      <x:c r="A50" s="177" t="str">
        <x:v>Processor hold / deposit</x:v>
      </x:c>
      <x:c r="B50" s="179"/>
      <x:c r="C50" s="179"/>
      <x:c r="D50" s="177" t="str">
        <x:v>Unknown and excluded from target. A hold delays usable cash; a deposit ties up cash. Neither is ordinary spend unless lost or charged. Obtain amount, duration and release terms.</x:v>
      </x:c>
    </x:row>
    <x:row r="51" ht="64" customHeight="1">
      <x:c r="A51" s="177" t="str">
        <x:v>Founding creator offer</x:v>
      </x:c>
      <x:c r="B51" s="179"/>
      <x:c r="C51" s="179"/>
      <x:c r="D51" s="177" t="str">
        <x:v>Founder correction: recover attributable costs without profit on founding creator sales. Processing-fees-only is superseded. Duration, cost allocation and no-loss economics are unproven; Plus revenue excluded.</x:v>
      </x:c>
    </x:row>
    <x:row r="52" ht="32" customHeight="1">
      <x:c r="A52" s="177"/>
      <x:c r="B52" s="179"/>
      <x:c r="C52" s="179"/>
      <x:c r="D52" s="177"/>
    </x:row>
    <x:row r="53" ht="32" customHeight="1">
      <x:c r="A53" s="187" t="str">
        <x:v>Volume and fee inputs</x:v>
      </x:c>
      <x:c r="B53" s="188" t="str">
        <x:v>Lower case</x:v>
      </x:c>
      <x:c r="C53" s="188" t="str">
        <x:v>Upper case</x:v>
      </x:c>
      <x:c r="D53" s="187" t="str">
        <x:v>Source / interpretation</x:v>
      </x:c>
    </x:row>
    <x:row r="54" ht="48" customHeight="1">
      <x:c r="A54" s="177" t="str">
        <x:v>Invited creator count</x:v>
      </x:c>
      <x:c r="B54" s="192" t="n">
        <x:v>25</x:v>
      </x:c>
      <x:c r="C54" s="192" t="n">
        <x:v>100</x:v>
      </x:c>
      <x:c r="D54" s="177" t="str">
        <x:v>Unchanged planning counts. Two contacts could recruit 50–100 prospects, not commitments; ~500 remains the longer target.</x:v>
      </x:c>
    </x:row>
    <x:row r="55" ht="64" customHeight="1">
      <x:c r="A55" s="177" t="str">
        <x:v>Initial check unit allowance</x:v>
      </x:c>
      <x:c r="B55" s="196" t="n">
        <x:v>1.39</x:v>
      </x:c>
      <x:c r="C55" s="196" t="n">
        <x:v>2.5</x:v>
      </x:c>
      <x:c r="D55" s="177" t="str">
        <x:v>Veriff Plus public benchmark $1.39; upper allowance includes pricing uncertainty. Neither establishes adult-platform suitability or required checks.</x:v>
      </x:c>
    </x:row>
    <x:row r="56" ht="64" customHeight="1">
      <x:c r="A56" s="177" t="str">
        <x:v>Initial minimum commitment</x:v>
      </x:c>
      <x:c r="B56" s="190" t="n">
        <x:v>99</x:v>
      </x:c>
      <x:c r="C56" s="190" t="n">
        <x:v>149</x:v>
      </x:c>
      <x:c r="D56" s="177" t="str">
        <x:v>Veriff published Plus/Premium benchmarks. Terms and required plan must be confirmed; creator ID is not member age assurance.</x:v>
      </x:c>
    </x:row>
    <x:row r="57" ht="64" customHeight="1">
      <x:c r="A57" s="177" t="str">
        <x:v>Fiverr buyer service fee</x:v>
      </x:c>
      <x:c r="B57" s="198" t="n">
        <x:v>0.055</x:v>
      </x:c>
      <x:c r="C57" s="198" t="n">
        <x:v>0.055</x:v>
      </x:c>
      <x:c r="D57" s="177" t="str">
        <x:v>Official standard buyer fee. Additional $3.50 on an order under $200; taxes and currency conversion may apply.</x:v>
      </x:c>
    </x:row>
    <x:row r="58" ht="32" customHeight="1">
      <x:c r="A58" s="177"/>
      <x:c r="B58" s="179"/>
      <x:c r="C58" s="179"/>
      <x:c r="D58" s="177"/>
    </x:row>
    <x:row r="59" ht="32" customHeight="1">
      <x:c r="A59" s="187" t="str">
        <x:v>Sources checked September 6, 2026</x:v>
      </x:c>
      <x:c r="B59" s="188"/>
      <x:c r="C59" s="188"/>
      <x:c r="D59" s="187"/>
    </x:row>
    <x:row r="60" ht="48" customHeight="1">
      <x:c r="A60" s="177" t="str">
        <x:v>CCBill card registration</x:v>
      </x:c>
      <x:c r="B60" s="179"/>
      <x:c r="C60" s="179"/>
      <x:c r="D60" s="177" t="str">
        <x:v>https://ccbill.com/doc/risk-difference-between-low-risk-and-high-risk-accounts</x:v>
      </x:c>
    </x:row>
    <x:row r="61" ht="48" customHeight="1">
      <x:c r="A61" s="177" t="str">
        <x:v>CCBill pricing / underwriting</x:v>
      </x:c>
      <x:c r="B61" s="179"/>
      <x:c r="C61" s="179"/>
      <x:c r="D61" s="177" t="str">
        <x:v>https://ccbill.com/pricing</x:v>
      </x:c>
    </x:row>
    <x:row r="62" ht="48" customHeight="1">
      <x:c r="A62" s="177" t="str">
        <x:v>Fiverr buyer fees</x:v>
      </x:c>
      <x:c r="B62" s="179"/>
      <x:c r="C62" s="179"/>
      <x:c r="D62" s="177" t="str">
        <x:v>https://help.fiverr.com/hc/en-us/articles/37553933600657-Paying-for-orders-extras-or-custom-offers</x:v>
      </x:c>
    </x:row>
    <x:row r="63" ht="48" customHeight="1">
      <x:c r="A63" s="177" t="str">
        <x:v>Identity price benchmark</x:v>
      </x:c>
      <x:c r="B63" s="179"/>
      <x:c r="C63" s="179"/>
      <x:c r="D63" s="177" t="str">
        <x:v>https://www.veriff.com/plans/self-serve</x:v>
      </x:c>
    </x:row>
    <x:row r="64" ht="48" customHeight="1">
      <x:c r="A64" s="177" t="str">
        <x:v>Storage price benchmark</x:v>
      </x:c>
      <x:c r="B64" s="179"/>
      <x:c r="C64" s="179"/>
      <x:c r="D64" s="177" t="str">
        <x:v>https://developers.cloudflare.com/r2/pricing/</x:v>
      </x:c>
    </x:row>
    <x:row r="65" ht="48" customHeight="1">
      <x:c r="A65" s="177" t="str">
        <x:v>Compute price reference</x:v>
      </x:c>
      <x:c r="B65" s="179"/>
      <x:c r="C65" s="179"/>
      <x:c r="D65" s="177" t="str">
        <x:v>https://aws.amazon.com/lightsail/pricing/</x:v>
      </x:c>
    </x:row>
    <x:row r="66" ht="64" customHeight="1">
      <x:c r="A66" s="177" t="str">
        <x:v>Professional / operating allowances</x:v>
      </x:c>
      <x:c r="B66" s="179"/>
      <x:c r="C66" s="179"/>
      <x:c r="D66" s="177" t="str">
        <x:v>Planning allowances remain unquoted. Founder answers reviewed September 6, 2026 in initial-business-definition.md; new funding/helper statements are notes only, not formula changes.</x:v>
      </x:c>
    </x:row>
    <x:row r="67" ht="64" customHeight="1">
      <x:c r="A67" s="177" t="str">
        <x:v>Historic arithmetic</x:v>
      </x:c>
      <x:c r="B67" s="179"/>
      <x:c r="C67" s="179"/>
      <x:c r="D67" s="177" t="str">
        <x:v>Expense Tracker historical estimates exclude the removed optional trademark line. Original displayed total 1,713 is retained. Confirmed purchases total $1,296; current planning remains separate.</x:v>
      </x:c>
    </x:row>
    <x:row r="68" ht="64" customHeight="1">
      <x:c r="A68" s="177" t="str">
        <x:v>Keep spending sequential</x:v>
      </x:c>
      <x:c r="B68" s="179"/>
      <x:c r="C68" s="179"/>
      <x:c r="D68" s="177" t="str">
        <x:v>Fund and build one functional slice at a time. Pair necessary founder/provider decisions with code; next is test-content upload/publish/feed and storage. Spending/deployment/live-use controls remain. Financial assumptions unchanged.</x:v>
      </x:c>
    </x:row>
    <x:row r="69" ht="32" customHeight="1">
      <x:c r="A69" s="177"/>
      <x:c r="B69" s="179"/>
      <x:c r="C69" s="179"/>
      <x:c r="D69" s="177"/>
    </x:row>
    <x:row r="70" ht="32" customHeight="1">
      <x:c r="A70" s="177"/>
      <x:c r="B70" s="179"/>
      <x:c r="C70" s="179"/>
      <x:c r="D70" s="177"/>
    </x:row>
    <x:row r="71" ht="32" customHeight="1">
      <x:c r="A71" s="177"/>
      <x:c r="B71" s="179"/>
      <x:c r="C71" s="179"/>
      <x:c r="D71" s="177"/>
    </x:row>
    <x:row r="72" ht="32" customHeight="1">
      <x:c r="A72" s="177"/>
      <x:c r="B72" s="179"/>
      <x:c r="C72" s="179"/>
      <x:c r="D72" s="177"/>
    </x:row>
    <x:row r="73" ht="32" customHeight="1">
      <x:c r="A73" s="177"/>
      <x:c r="B73" s="179"/>
      <x:c r="C73" s="179"/>
      <x:c r="D73" s="177"/>
    </x:row>
    <x:row r="74" ht="32" customHeight="1">
      <x:c r="A74" s="177"/>
      <x:c r="B74" s="179"/>
      <x:c r="C74" s="179"/>
      <x:c r="D74" s="177"/>
    </x:row>
    <x:row r="75" ht="32" customHeight="1">
      <x:c r="A75" s="177"/>
      <x:c r="B75" s="179"/>
      <x:c r="C75" s="179"/>
      <x:c r="D75" s="177"/>
    </x:row>
  </x:sheetData>
  <x:pageMargins left="0.7" right="0.7" top="0.75" bottom="0.75" header="0.3" footer="0.3"/>
</x:worksheet>
</file>