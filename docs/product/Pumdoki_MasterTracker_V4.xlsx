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Master Tracker" sheetId="2" r:id="rId6"/>
    <sheet state="visible" name="Backlog" sheetId="3" r:id="rId7"/>
    <sheet state="visible" name="Notes &amp; Assumptions" sheetId="4" r:id="rId8"/>
    <sheet state="visible" name="💸 Expense Tracker" sheetId="5" r:id="rId9"/>
  </sheets>
  <definedNames/>
  <calcPr calcMode="auto" fullCalcOnLoad="1" forceFullCalc="1"/>
</workbook>
</file>

<file path=xl/sharedStrings.xml><?xml version="1.0" encoding="utf-8"?>
<sst xmlns="http://schemas.openxmlformats.org/spreadsheetml/2006/main" count="921" uniqueCount="630">
  <si>
    <t>🌸  Pumdoki Master Build Tracker</t>
  </si>
  <si>
    <t>Google Sheets-compatible workbook built from existing Pumdoki planning context.</t>
  </si>
  <si>
    <t>📋 MVP Tracker Summary</t>
  </si>
  <si>
    <t>📦 Post-MVP Backlog</t>
  </si>
  <si>
    <t>Total MVP tasks</t>
  </si>
  <si>
    <t>Total backlog items</t>
  </si>
  <si>
    <t>✅ Done</t>
  </si>
  <si>
    <t>📋 Not Started</t>
  </si>
  <si>
    <t>🔄 In Progress</t>
  </si>
  <si>
    <t>% Complete</t>
  </si>
  <si>
    <t>Status legend</t>
  </si>
  <si>
    <t>Project notes</t>
  </si>
  <si>
    <t>• Statuses based on planning context and session reviews through May 2026.</t>
  </si>
  <si>
    <t>• Items without clear evidence of completion defaulted to Not Started.</t>
  </si>
  <si>
    <t>• Use the Master Tracker sheet as the working project manager view.</t>
  </si>
  <si>
    <t>• Upload this .xlsx to Google Sheets for online collaboration.</t>
  </si>
  <si>
    <t>• Infra locked: AWS (app/DB) + Cloudflare R2 (media).</t>
  </si>
  <si>
    <t>• Payments locked: CCBill (primary) + Epoch (cascade/fallback).</t>
  </si>
  <si>
    <t>• Future: Crypto payments (USDT/BTC) planned post-MVP.</t>
  </si>
  <si>
    <t>• Sakura Kiss Edition — last updated May 2026.</t>
  </si>
  <si>
    <t>Connect Tech LLc</t>
  </si>
  <si>
    <t>🌸  PUMDOKI — Master Build Checklist</t>
  </si>
  <si>
    <t>A space for creators, members, and real interaction.</t>
  </si>
  <si>
    <t>Phase / Item</t>
  </si>
  <si>
    <t>Description</t>
  </si>
  <si>
    <t>Status</t>
  </si>
  <si>
    <t>Notes</t>
  </si>
  <si>
    <t>🎯  PHASE 1 — Strategy &amp; Scope</t>
  </si>
  <si>
    <t>Define core value proposition</t>
  </si>
  <si>
    <t>Lock the core promise for creators, members, and interaction.</t>
  </si>
  <si>
    <t>Positioning: 'A space for creators, members, and real interaction.'</t>
  </si>
  <si>
    <t>Lock MVP scope</t>
  </si>
  <si>
    <t>Subscriptions-first, NSFW at launch. Confirm what is excluded from v1.</t>
  </si>
  <si>
    <t>MVP scope set.</t>
  </si>
  <si>
    <t>Document post-MVP delays</t>
  </si>
  <si>
    <t>Keep live streaming, advanced chat, tipping, PPV, analytics, rec engine, extra themes, gamification out of MVP.</t>
  </si>
  <si>
    <t>MVP vs later items distinguished.</t>
  </si>
  <si>
    <t>Convert roadmap into phase plan</t>
  </si>
  <si>
    <t>Break work into design, build, test, beta, and launch phases.</t>
  </si>
  <si>
    <t>Roadmap/checklist organization underway.</t>
  </si>
  <si>
    <t>Set launch KPIs</t>
  </si>
  <si>
    <t>Define targets: creators onboarded, paid members, conversion, retention, bug rate.</t>
  </si>
  <si>
    <t>Needed before beta/public launch.</t>
  </si>
  <si>
    <t>⚖️  PHASE 2 — Legal &amp; Compliance</t>
  </si>
  <si>
    <t>Draft Terms of Service</t>
  </si>
  <si>
    <t>Prepare terms governing platform use, NSFW content rules, user responsibilities, dispute resolution.</t>
  </si>
  <si>
    <t>Must exist before launch.</t>
  </si>
  <si>
    <t>Draft Privacy Policy</t>
  </si>
  <si>
    <t>Data collection, cookies, third-party sharing, CCPA/GDPR rights, data retention.</t>
  </si>
  <si>
    <t>Privacy layers discussed; formal draft needed.</t>
  </si>
  <si>
    <t>Draft Community / Platform Rules</t>
  </si>
  <si>
    <t>State permitted and prohibited activity clearly for creators and members.</t>
  </si>
  <si>
    <t>Required for moderation consistency.</t>
  </si>
  <si>
    <t>Draft Acceptable Use Policy</t>
  </si>
  <si>
    <t>No minors, no non-consensual content, no illegal material, no harassment.</t>
  </si>
  <si>
    <t>Separates from ToS for clarity and enforcement.</t>
  </si>
  <si>
    <t>Create DMCA Policy &amp; Takedown Process</t>
  </si>
  <si>
    <t>Copyright reporting form, designated agent, response procedures (17 USC §512).</t>
  </si>
  <si>
    <t>Required for content platforms.</t>
  </si>
  <si>
    <t>Implement 18 USC §2257 Recordkeeping</t>
  </si>
  <si>
    <t>Maintain age verification records for performers in sexually explicit content. Display §2257 compliance statement.</t>
  </si>
  <si>
    <t>Federal requirement for adult content platforms.</t>
  </si>
  <si>
    <t>Draft Cookie Policy &amp; Consent Banner</t>
  </si>
  <si>
    <t>Disclose cookie usage, purposes, opt-out. Implement consent UI (required for GDPR/ePrivacy).</t>
  </si>
  <si>
    <t>Required for EU visitors; best practice globally.</t>
  </si>
  <si>
    <t>Implement GDPR Compliance</t>
  </si>
  <si>
    <t>Right to access, deletion, data portability, consent management, DPA with processors.</t>
  </si>
  <si>
    <t>Required if serving EU users.</t>
  </si>
  <si>
    <t>Implement CCPA/CPRA Compliance</t>
  </si>
  <si>
    <t>'Do Not Sell' opt-out, privacy notice for CA residents, data deletion requests.</t>
  </si>
  <si>
    <t>Required if serving California users.</t>
  </si>
  <si>
    <t>Prepare Payment Provider Compliance Package</t>
  </si>
  <si>
    <t>Document policies/controls required by CCBill and Epoch for merchant onboarding.</t>
  </si>
  <si>
    <t>Often needed for onboarding and annual review.</t>
  </si>
  <si>
    <t>Draft Creator Agreement / Payout Terms</t>
  </si>
  <si>
    <t>Creator obligations: content ownership, tax (W-9/W-8BEN), payout terms, prohibited content.</t>
  </si>
  <si>
    <t>Needed before creator onboarding.</t>
  </si>
  <si>
    <t>Implement Visa/Mastercard BRAM Compliance</t>
  </si>
  <si>
    <t>Meet Brand Risk and Acquirer Monitoring requirements for adult merchants.</t>
  </si>
  <si>
    <t>Card network requirement for adult sites.</t>
  </si>
  <si>
    <t>Finalize Trademark Filing Plan</t>
  </si>
  <si>
    <t>Decide classes (IC 009, 035, 042), timing, filing sequence for 'Pumdoki' and 'Veso'.</t>
  </si>
  <si>
    <t>Trademark timing/classes already considered.</t>
  </si>
  <si>
    <t>Finalize Domain Management</t>
  </si>
  <si>
    <t>Secure primary domains and variants (.com, .net, etc.).</t>
  </si>
  <si>
    <t>Domain strategy already considered.</t>
  </si>
  <si>
    <t>Address MD Business Registration Privacy</t>
  </si>
  <si>
    <t>Manage privacy concerns — MD biz records may expose personal identity linked to NSFW platform.</t>
  </si>
  <si>
    <t>Privacy concerns discussed; resolution in progress.</t>
  </si>
  <si>
    <t>Implement Accessibility Basics (ADA/WCAG)</t>
  </si>
  <si>
    <t>Alt text, keyboard navigation, contrast ratios, screen reader compatibility.</t>
  </si>
  <si>
    <t>Best practice; reduces legal risk.</t>
  </si>
  <si>
    <t>Draft Anti-Human Trafficking Policy</t>
  </si>
  <si>
    <t>Prohibit trafficking, exploitation, coercive content. Include reporting mechanisms and creator guidance.</t>
  </si>
  <si>
    <t>Required by CCBill/Epoch for merchant onboarding.</t>
  </si>
  <si>
    <t>Draft Non-Consensual Content Policy</t>
  </si>
  <si>
    <t>Standalone policy prohibiting NCII. Define removal process, reporting path, and creator obligations.</t>
  </si>
  <si>
    <t>Must be its own doc for payment processor and Visa/MC BRAM review.</t>
  </si>
  <si>
    <t>Implement US Take It Down Act Compliance</t>
  </si>
  <si>
    <t>Written policy + removal workflow for non-consensual intimate images. Must action valid removal within 48 hours.</t>
  </si>
  <si>
    <t>Federal law signed 2025. Non-compliance is a federal offense.</t>
  </si>
  <si>
    <t>Draft Law Enforcement Request Policy</t>
  </si>
  <si>
    <t>Define process for handling government and LEA data requests — disclosure, legal basis, user notification.</t>
  </si>
  <si>
    <t>Commonly reviewed during CCBill/Epoch onboarding.</t>
  </si>
  <si>
    <t>Draft Appeals Policy</t>
  </si>
  <si>
    <t>Documented process for creators and members to appeal content removals, account suspensions, or payment holds.</t>
  </si>
  <si>
    <t>Needed before creator onboarding begins.</t>
  </si>
  <si>
    <t>Draft Complaint Policy</t>
  </si>
  <si>
    <t>Formal intake process for user complaints beyond DMCA — billing disputes, harassment, platform conduct.</t>
  </si>
  <si>
    <t>Best practice globally; supports EU DSA/P2B compliance.</t>
  </si>
  <si>
    <t>Draft Anti-Spam Policy</t>
  </si>
  <si>
    <t>Rules governing creator messaging to members, platform notifications, and marketing emails.</t>
  </si>
  <si>
    <t>Needed before the email/notification system goes live.</t>
  </si>
  <si>
    <t>Draft Platform-to-Business (P2B) Terms</t>
  </si>
  <si>
    <t>EU P2B regulation disclosure for creators — ranking criteria, access termination conditions, dispute options.</t>
  </si>
  <si>
    <t>Conditional on EU launch scope. Low effort to draft.</t>
  </si>
  <si>
    <t>🎨  PHASE 3 — Brand &amp; Design</t>
  </si>
  <si>
    <t>Finalize brand aesthetic &amp; color system</t>
  </si>
  <si>
    <t>Confirm pink / sakura visual direction and supporting palette.</t>
  </si>
  <si>
    <t>Brand direction established.</t>
  </si>
  <si>
    <t>Finalize logo / wordmark</t>
  </si>
  <si>
    <t>Lock minimal premium wordmark. Symbol: heart + sakura petal + heartbeat + rounded sans-serif.</t>
  </si>
  <si>
    <t>Direction exists; final asset lock not confirmed.</t>
  </si>
  <si>
    <t>Finalize homepage messaging</t>
  </si>
  <si>
    <t>Polish hero copy, value prop, marketing text. Avoid 'Softer'; feel inclusive, not creator-first.</t>
  </si>
  <si>
    <t>Draft messaging exists; final copy not confirmed.</t>
  </si>
  <si>
    <t>Define creator theme ladders</t>
  </si>
  <si>
    <t>Floral: Petal→Bloom→Sakura→Golden Sakura→Eternal Sakura. Ember: Ember→Ignite→Flare→Inferno→Eternal Flame.</t>
  </si>
  <si>
    <t>Theme ladder concepts defined.</t>
  </si>
  <si>
    <t>Build reusable design system</t>
  </si>
  <si>
    <t>Buttons, cards, tabs, modals, badges, pricing modules, feed cards, locked-content previews.</t>
  </si>
  <si>
    <t>Implied by active UI/front-end development.</t>
  </si>
  <si>
    <t>Finalize responsive / mobile layouts</t>
  </si>
  <si>
    <t>Ensure primary flows work cleanly on mobile and desktop.</t>
  </si>
  <si>
    <t>Required early; tracked as active design work.</t>
  </si>
  <si>
    <t>Implement Dark Knight theme</t>
  </si>
  <si>
    <t>Second default theme (dark/charcoal). Near-black backgrounds, deep tones, pink accent. Toggle in Settings. All users get this free alongside Sakura Pink.</t>
  </si>
  <si>
    <t>Committed as a default theme — not premium. CSS variable overrides over existing system. Do not skip.</t>
  </si>
  <si>
    <t>Design Founding Creator / Member badge program</t>
  </si>
  <si>
    <t>Define badge visuals, eligibility window (first N users or date window), locked-in fee reduction for Founding Creators, badge display on profiles and posts.</t>
  </si>
  <si>
    <t>First 500 creators get permanent Founding Creator badge + reduced platform commission. First 500 members get Founding Member badge + discount. Drives early community loyalty.</t>
  </si>
  <si>
    <t>🏗️  PHASE 4 — Backend &amp; Infrastructure</t>
  </si>
  <si>
    <t>Define AWS architecture</t>
  </si>
  <si>
    <t>EC2/ECS for app, RDS PostgreSQL for DB, Cloudflare R2 for media storage/CDN.</t>
  </si>
  <si>
    <t>AWS (app/DB) + Cloudflare R2 (media) confirmed.</t>
  </si>
  <si>
    <t>Set up Cloudflare R2 media storage</t>
  </si>
  <si>
    <t>Configure R2 buckets, access policies, signed URLs for private media, CDN caching.</t>
  </si>
  <si>
    <t>R2 chosen for NSFW-safe media delivery.</t>
  </si>
  <si>
    <t>Define RDS PostgreSQL schema</t>
  </si>
  <si>
    <t>Model users, creators, posts, subscriptions, plans, transactions, Veso wallets, moderation.</t>
  </si>
  <si>
    <t>RDS/Postgres and schema planning in scope.</t>
  </si>
  <si>
    <t>Set up local / staging / prod environments</t>
  </si>
  <si>
    <t>Separate environments, secrets handling, .env management.</t>
  </si>
  <si>
    <t>Recommended early; not confirmed started.</t>
  </si>
  <si>
    <t>Define API structure</t>
  </si>
  <si>
    <t>Map endpoints: auth, content, subscriptions, payments, moderation, admin, notifications.</t>
  </si>
  <si>
    <t>Needed before backend scales.</t>
  </si>
  <si>
    <t>Implement logging &amp; monitoring</t>
  </si>
  <si>
    <t>Error tracking, structured logs, operational visibility (CloudWatch, Sentry).</t>
  </si>
  <si>
    <t>Needed before beta.</t>
  </si>
  <si>
    <t>Implement backups &amp; recovery plan</t>
  </si>
  <si>
    <t>Automated RDS snapshots, R2 versioning, disaster recovery.</t>
  </si>
  <si>
    <t>Required for production readiness.</t>
  </si>
  <si>
    <t>Add rate limiting &amp; abuse protection</t>
  </si>
  <si>
    <t>Anti-scraping, anti-spam, brute-force protection, credential abuse.</t>
  </si>
  <si>
    <t>Important for public-facing auth and NSFW platforms.</t>
  </si>
  <si>
    <t>Set up CI/CD pipeline</t>
  </si>
  <si>
    <t>Automate testing and deployment from Git branches to staging/production.</t>
  </si>
  <si>
    <t>Improves solo-dev velocity.</t>
  </si>
  <si>
    <t>Configure SSL/TLS &amp; domain DNS</t>
  </si>
  <si>
    <t>HTTPS everywhere, DNS records, certificate management.</t>
  </si>
  <si>
    <t>Required for production.</t>
  </si>
  <si>
    <t>🔐  PHASE 5 — Accounts, Auth &amp; Roles</t>
  </si>
  <si>
    <t>Implement account creation &amp; login/logout</t>
  </si>
  <si>
    <t>Create working auth flows, not just screens.</t>
  </si>
  <si>
    <t>UI in scope; backend auth not confirmed.</t>
  </si>
  <si>
    <t>Implement creator/member/admin roles</t>
  </si>
  <si>
    <t>Role-based permissions and access boundaries.</t>
  </si>
  <si>
    <t>Required before expanding features.</t>
  </si>
  <si>
    <t>Implement session management</t>
  </si>
  <si>
    <t>Signed-in state, token/session renewal, logout behavior.</t>
  </si>
  <si>
    <t>Foundation task for secure auth.</t>
  </si>
  <si>
    <t>Build onboarding flows</t>
  </si>
  <si>
    <t>First-run setup for creators (incl. theme selection: Floral/Ember) and members.</t>
  </si>
  <si>
    <t>Needed for smooth activation.</t>
  </si>
  <si>
    <t>Add 18+ entry gate &amp; age verification</t>
  </si>
  <si>
    <t>Consent gating and age/compliance checks at platform entry.</t>
  </si>
  <si>
    <t>Required — adult content from launch.</t>
  </si>
  <si>
    <t>Implement email verification</t>
  </si>
  <si>
    <t>Require email confirmation for new accounts.</t>
  </si>
  <si>
    <t>Standard security requirement.</t>
  </si>
  <si>
    <t>Implement password reset flow</t>
  </si>
  <si>
    <t>Secure forgot-password and recovery process.</t>
  </si>
  <si>
    <t>Required for production auth.</t>
  </si>
  <si>
    <t>💻  PHASE 6 — Frontend &amp; UX</t>
  </si>
  <si>
    <t>Build homepage (logged-in feed)</t>
  </si>
  <si>
    <t>Implement the main logged-in home experience with heart story rail and Following/For You tabs.</t>
  </si>
  <si>
    <t>Feed page designed with heart rail and tab system. Functional layout confirmed.</t>
  </si>
  <si>
    <t>Build landing page</t>
  </si>
  <si>
    <t>Public-facing marketing/conversion page for new visitors.</t>
  </si>
  <si>
    <t>Auth/landing split screen complete. Raining hearts animation working. +18 checkbox present.</t>
  </si>
  <si>
    <t>Build creator profile pages</t>
  </si>
  <si>
    <t>Public creator profiles with plans, content previews, tier display, services tab, highlights.</t>
  </si>
  <si>
    <t>Profile page designed. Services tab, heart highlights, subscribe button visible.</t>
  </si>
  <si>
    <t>Build feed / discovery page</t>
  </si>
  <si>
    <t>Hybrid discovery feed: For You + Following tabs, heart story rail.</t>
  </si>
  <si>
    <t>Heart rail + Following/For You hybrid implemented in design.</t>
  </si>
  <si>
    <t>Build subscription / pricing page</t>
  </si>
  <si>
    <t>Tier display: Standard (Doki 1–3), Premium (Super Doki 1–2), Ultimate (Doki Legend).</t>
  </si>
  <si>
    <t>Part of the active front-end build.</t>
  </si>
  <si>
    <t>Build login / signup screens</t>
  </si>
  <si>
    <t>Account entry screens for creators and members.</t>
  </si>
  <si>
    <t>Auth screen complete. Welcome back card, Google SSO, create account flow present.</t>
  </si>
  <si>
    <t>Implement story rail / For You model</t>
  </si>
  <si>
    <t>Translate the interaction/feed architecture into actual UI behavior.</t>
  </si>
  <si>
    <t>Architecture defined; build not confirmed.</t>
  </si>
  <si>
    <t>Implement locked-content previews</t>
  </si>
  <si>
    <t>Teasers and premium access states in cards and posts.</t>
  </si>
  <si>
    <t>Needed for premium conversion flow.</t>
  </si>
  <si>
    <t>Implement membership tier modules</t>
  </si>
  <si>
    <t>Doki / SuperDoki / Doki Legend plan modules on creator pages.</t>
  </si>
  <si>
    <t>Tier framework exists; implementation not confirmed.</t>
  </si>
  <si>
    <t>Build Store page</t>
  </si>
  <si>
    <t>Pumdoki Store front-end (Git branch: Store).</t>
  </si>
  <si>
    <t>Store page designed with filters, card grid, BUY buttons.</t>
  </si>
  <si>
    <t>Build Connect page</t>
  </si>
  <si>
    <t>Social discovery front-end for session bookings (E-Chat, Voice Call, Video Call, Game With Me).</t>
  </si>
  <si>
    <t>Connect page designed with session type tabs and creator grid.</t>
  </si>
  <si>
    <t>Build Chat UI</t>
  </si>
  <si>
    <t>Basic messaging interface (Git branch: Chat). Simple DMs only for MVP.</t>
  </si>
  <si>
    <t>Advanced chat deferred to post-MVP.</t>
  </si>
  <si>
    <t>Build Veso wallet page</t>
  </si>
  <si>
    <t>Member-facing wallet: Veso balance display, add funds flow, transaction history. 1 Veso = 1 USD. Keep it simple for MVP.</t>
  </si>
  <si>
    <t>Critical — tied directly to payments. Must exist before payment processing goes live.</t>
  </si>
  <si>
    <t>Implement NSFW +18 content toggle</t>
  </si>
  <si>
    <t>User-level toggle in settings and feed to show/hide explicit content. Compliance feature and UX feature. Default state: hidden for new accounts.</t>
  </si>
  <si>
    <t>Required for launch. Ties into compliance and creator content gating. Non-negotiable for MVP.</t>
  </si>
  <si>
    <t>Build settings page</t>
  </si>
  <si>
    <t>Account info, password change, notification preferences, theme toggle (Sakura Pink / Dark Knight), NSFW content toggle, payment/billing section.</t>
  </si>
  <si>
    <t>Keep minimal for MVP. Theme toggle and NSFW toggle are the critical elements.</t>
  </si>
  <si>
    <t>Build help / support page</t>
  </si>
  <si>
    <t>Basic FAQ page with accordion answers + simple contact/support form routed to founder inbox.</t>
  </si>
  <si>
    <t>Plain and functional for MVP. Expands post-launch.</t>
  </si>
  <si>
    <t>Build 'Your Activity' page</t>
  </si>
  <si>
    <t>Member activity history: posts liked, content purchased, subscriptions, Veso spent. Lower priority.</t>
  </si>
  <si>
    <t>Nice-to-have post-launch. Defer if time is tight.</t>
  </si>
  <si>
    <t>Improve Create Post ('Moments') modal</t>
  </si>
  <si>
    <t>Replace generic 'What's on your mind?' with Pumdoki-voice copy. Add locked/subscriber-only content state. Improve layout and brand feel.</t>
  </si>
  <si>
    <t>Basic modal exists. Needs Pumdoki language, locked content toggle, and improved visual polish.</t>
  </si>
  <si>
    <t>Improve side navigation drawer</t>
  </si>
  <si>
    <t>Make drawer slightly larger and use darker, more vibrant colors. Currently blends too much into the background — needs presence like Instagram's nav.</t>
  </si>
  <si>
    <t>Drawer functional but visually weak. Increase icon size, darken colors, improve active state.</t>
  </si>
  <si>
    <t>Fix chat: offline avatar + notification badge</t>
  </si>
  <si>
    <t>Show creator offline avatar/indicator when creator is offline. Show unread notification badge on minimized chat. Currently missing both.</t>
  </si>
  <si>
    <t>Chat functional but missing offline state and notification badge on minimized view.</t>
  </si>
  <si>
    <t>Build creator dashboard UI</t>
  </si>
  <si>
    <t>Creator-facing analytics dashboard: revenue chart, active subscribers, profile visits, live activity feed, revenue by source, top performing posts, top fans, quick actions.</t>
  </si>
  <si>
    <t>Dashboard designed. Remove Live Streaming quick action for MVP. Rest of dashboard is layout-complete.</t>
  </si>
  <si>
    <t>Improve landing page posts visuals</t>
  </si>
  <si>
    <t xml:space="preserve">Add a checkmark, a follow buttom, re-arrenge For You / Following and flip sides, add logic to For You (X inspired), </t>
  </si>
  <si>
    <t>Post visual already in place. Need to add more features and complex logic to the For You page</t>
  </si>
  <si>
    <t>📸  PHASE 7 — Content &amp; Media</t>
  </si>
  <si>
    <t>Define post / content model</t>
  </si>
  <si>
    <t>Creator posting, visibility flags (public/subscriber/tier-locked), member access rules.</t>
  </si>
  <si>
    <t>Core content object needs build.</t>
  </si>
  <si>
    <t>Build media upload pipeline</t>
  </si>
  <si>
    <t>Image/video upload → Cloudflare R2 storage → signed URL delivery.</t>
  </si>
  <si>
    <t>Launch-critical capability.</t>
  </si>
  <si>
    <t>Define public vs private asset rules</t>
  </si>
  <si>
    <t>Separate teaser, paid, and internal assets with signed URL gating.</t>
  </si>
  <si>
    <t>Needed for secure access gating.</t>
  </si>
  <si>
    <t>Implement media optimization</t>
  </si>
  <si>
    <t>Compress/transcode images and video (thumbnails, adaptive quality).</t>
  </si>
  <si>
    <t>Needed for smoother UX.</t>
  </si>
  <si>
    <t>Implement watermarking / content protection</t>
  </si>
  <si>
    <t>Visible + invisible watermarks to reduce re-sharing risk.</t>
  </si>
  <si>
    <t>Protection planning in scope.</t>
  </si>
  <si>
    <t>Build moderation review flow</t>
  </si>
  <si>
    <t>Flagged items reviewed and actioned by admin.</t>
  </si>
  <si>
    <t>Required for platform operations.</t>
  </si>
  <si>
    <t>💰  PHASE 8 — Payments &amp; Monetization</t>
  </si>
  <si>
    <t>Integrate CCBill (primary processor)</t>
  </si>
  <si>
    <t>Set up merchant account, API integration, webhook handling, subscription billing.</t>
  </si>
  <si>
    <t>CCBill selected as primary processor.</t>
  </si>
  <si>
    <t>Integrate Epoch (cascade fallback)</t>
  </si>
  <si>
    <t>Set up Epoch as secondary for transactions CCBill declines.</t>
  </si>
  <si>
    <t>Epoch selected as cascade fallback.</t>
  </si>
  <si>
    <t>Build payment cascading logic</t>
  </si>
  <si>
    <t>Route failed CCBill transactions automatically to Epoch before returning decline.</t>
  </si>
  <si>
    <t>Core payment orchestration task.</t>
  </si>
  <si>
    <t>Implement recurring subscription billing</t>
  </si>
  <si>
    <t>Create the actual subscription/payment flow through CCBill/Epoch.</t>
  </si>
  <si>
    <t>Implementation not confirmed.</t>
  </si>
  <si>
    <t>Build renewal / cancel logic</t>
  </si>
  <si>
    <t>Recurring billing state changes, grace periods, cancellations.</t>
  </si>
  <si>
    <t>Needed for subscription lifecycle.</t>
  </si>
  <si>
    <t>Tie access gating to subscription status</t>
  </si>
  <si>
    <t>Grant/revoke content access based on active payment state and tier.</t>
  </si>
  <si>
    <t>Critical premium access control.</t>
  </si>
  <si>
    <t>Define creator payouts flow</t>
  </si>
  <si>
    <t>Payout cadence (weekly/biweekly), ledger logic, minimums, admin handling.</t>
  </si>
  <si>
    <t>Needed once monetization is live.</t>
  </si>
  <si>
    <t>Define Veso wallet / display logic</t>
  </si>
  <si>
    <t>Where Veso (1 = $1 USD) appears: balance display, purchase flow, spend flow.</t>
  </si>
  <si>
    <t>Currency exists; product behavior not confirmed.</t>
  </si>
  <si>
    <t>Define platform commission model</t>
  </si>
  <si>
    <t>Fee structure: platform take rate, creator share, member economics. Founding Creator exception rate must be defined.</t>
  </si>
  <si>
    <t>Needed for launch economics. Must account for Founding Creator reduced rate.</t>
  </si>
  <si>
    <t>Implement chargeback &amp; dispute workflow</t>
  </si>
  <si>
    <t>Track chargebacks from CCBill/Epoch, alert admin, manage dispute responses.</t>
  </si>
  <si>
    <t>Critical for high-risk adult processing.</t>
  </si>
  <si>
    <t>Plan crypto payment integration</t>
  </si>
  <si>
    <t>Research USDT/BTC path. Evaluate self-hosted vs third-party (NowPayments, PayRam).</t>
  </si>
  <si>
    <t>Deferred; planned as future payment rail.</t>
  </si>
  <si>
    <t>🛡️  PHASE 9 — Admin Dashboard &amp; Moderation</t>
  </si>
  <si>
    <t>Protect /admin route</t>
  </si>
  <si>
    <t>Restrict to admin-role only. Login-gated, founder-only access. Separate from creator dashboard.</t>
  </si>
  <si>
    <t>Admin route planned; not confirmed built.</t>
  </si>
  <si>
    <t>Build admin overview / operations page</t>
  </si>
  <si>
    <t>Operational snapshot: total users, new signups today, active creators, revenue (gross/net), payout queue, content mod queue count, active flags.</t>
  </si>
  <si>
    <t>First page you see when logging into admin. Keeps you informed at a glance.</t>
  </si>
  <si>
    <t>Build users &amp; creators admin table</t>
  </si>
  <si>
    <t>Searchable table of all accounts. Filter by role (member/creator/admin). View status, join date, spend, earnings. Actions: warn, suspend, ban, verify.</t>
  </si>
  <si>
    <t>Core operational tool. Needed for day-1 operations.</t>
  </si>
  <si>
    <t>Build creator verification &amp; onboarding queue</t>
  </si>
  <si>
    <t>Review incoming creator applications. View submitted ID documents. Approve or reject. Log decision with reason. Trigger creator onboarding email.</t>
  </si>
  <si>
    <t>Required before any creator goes live. Tied to 2257 compliance.</t>
  </si>
  <si>
    <t>Build content moderation queue</t>
  </si>
  <si>
    <t>Queue of all flagged content sorted by severity. Actions: approve, remove, warn creator, escalate. Show content type, creator, flag reason, reporter.</t>
  </si>
  <si>
    <t>Especially important for NSFW operations. Will be high-volume once platform grows.</t>
  </si>
  <si>
    <t>Build reports handling workflow</t>
  </si>
  <si>
    <t>Route user/content reports into admin triage with severity levels (High / Medium / Low). Show open report count, type, and age.</t>
  </si>
  <si>
    <t>Needed for safety and operations.</t>
  </si>
  <si>
    <t>Build payments &amp; payouts admin view</t>
  </si>
  <si>
    <t>View all transactions, subscription events, payout queue. Manually trigger or block payouts. View CCBill/Epoch transaction IDs. Filter by date, creator, status.</t>
  </si>
  <si>
    <t>Needed for business operations and dispute resolution.</t>
  </si>
  <si>
    <t>Build chargeback alert dashboard</t>
  </si>
  <si>
    <t>Real-time view of incoming chargebacks from CCBill/Epoch webhooks. Show chargeback rate %, alert when approaching 1% threshold. Log dispute responses.</t>
  </si>
  <si>
    <t>Adult platforms live and die by chargeback rate. Exceeding 1% risks losing your merchant account.</t>
  </si>
  <si>
    <t>Build Veso / wallet admin view</t>
  </si>
  <si>
    <t>View all Veso balances across users. See top-up history, spend history, manual adjustments. Ability to issue Veso credits (e.g., for promotions or support resolutions).</t>
  </si>
  <si>
    <t>Needed once Veso is live. Also useful for resolving billing disputes.</t>
  </si>
  <si>
    <t>Build Founding Badge admin management</t>
  </si>
  <si>
    <t>View list of Founding Creators and Founding Members. Track how many slots remain. Assign or revoke badge manually if needed. Show badge count against cap.</t>
  </si>
  <si>
    <t>Required to manage the founder badge program. Badge count cap enforced here.</t>
  </si>
  <si>
    <t>Build admin platform settings panel</t>
  </si>
  <si>
    <t>Configure: platform commission rate, Founding Creator commission rate, NSFW content flags, feature flags (enable/disable features), payout minimums, maintenance mode.</t>
  </si>
  <si>
    <t>Gives you control over live platform behavior without code deploys.</t>
  </si>
  <si>
    <t>Implement 2257 compliance records admin</t>
  </si>
  <si>
    <t>View and manage age verification records submitted by creators. Link each creator to their ID verification doc. Must be accessible on demand for compliance audits.</t>
  </si>
  <si>
    <t>Federal requirement. Must be in place before any adult content goes live.</t>
  </si>
  <si>
    <t>Implement audit log</t>
  </si>
  <si>
    <t>Track all admin actions with timestamp, admin user, action type, and affected entity. Immutable log — no deleting entries.</t>
  </si>
  <si>
    <t>Useful for security, accountability, and legal protection.</t>
  </si>
  <si>
    <t>📊  PHASE 10 — Analytics, Support &amp; Notifications</t>
  </si>
  <si>
    <t>Define analytics event tracking</t>
  </si>
  <si>
    <t>Track signups, subscriptions, content views, conversions, churn signals.</t>
  </si>
  <si>
    <t>Build launch KPI dashboard</t>
  </si>
  <si>
    <t>Lightweight internal reporting view for admin.</t>
  </si>
  <si>
    <t>Needed to monitor launch health.</t>
  </si>
  <si>
    <t>Set up support / contact workflow</t>
  </si>
  <si>
    <t>Route issues to a manageable inbox (email-based initially).</t>
  </si>
  <si>
    <t>Needed for operational readiness.</t>
  </si>
  <si>
    <t>Create FAQ / help center content</t>
  </si>
  <si>
    <t>Common setup, billing, and policy answers.</t>
  </si>
  <si>
    <t>Useful before public launch.</t>
  </si>
  <si>
    <t>Implement notifications / email system</t>
  </si>
  <si>
    <t>Transactional emails (welcome, billing, reset) and platform notices via SES or Resend/Postmark.</t>
  </si>
  <si>
    <t>Needed for signups, billing, alerts.</t>
  </si>
  <si>
    <t>🚀  PHASE 11 — Creator Ops &amp; Go-To-Market</t>
  </si>
  <si>
    <t>Recruit initial creators</t>
  </si>
  <si>
    <t>Secure first launch or beta creators.</t>
  </si>
  <si>
    <t>Needed for a credible launch marketplace.</t>
  </si>
  <si>
    <t>Create creator onboarding docs</t>
  </si>
  <si>
    <t>How-to for setup, posting, pricing, tier themes, and policy.</t>
  </si>
  <si>
    <t>Helpful for beta and early launch.</t>
  </si>
  <si>
    <t>Define beta member invite list</t>
  </si>
  <si>
    <t>Choose initial users to test flows.</t>
  </si>
  <si>
    <t>Needed for private beta.</t>
  </si>
  <si>
    <t>Build waitlist / lead capture</t>
  </si>
  <si>
    <t>Collect early interest before public release.</t>
  </si>
  <si>
    <t>Useful for launch momentum.</t>
  </si>
  <si>
    <t>Create social launch content plan</t>
  </si>
  <si>
    <t>Posts, teasers, launch announcements.</t>
  </si>
  <si>
    <t>Needed before public launch.</t>
  </si>
  <si>
    <t>Define referral / affiliate plan</t>
  </si>
  <si>
    <t>Lightweight growth loop for early users.</t>
  </si>
  <si>
    <t>Can be simple but useful.</t>
  </si>
  <si>
    <t>Build Pumdoki Discord Server</t>
  </si>
  <si>
    <t xml:space="preserve">Marketing tool to build audience, recruit our first creators, and create a community. </t>
  </si>
  <si>
    <t>🧪  PHASE 12 — QA, Beta &amp; Launch</t>
  </si>
  <si>
    <t>Build internal QA checklist</t>
  </si>
  <si>
    <t>Turn roadmap into a structured test list.</t>
  </si>
  <si>
    <t>Checklist organization underway.</t>
  </si>
  <si>
    <t>Plan private beta</t>
  </si>
  <si>
    <t>Define who tests, what gets tested, how feedback is captured.</t>
  </si>
  <si>
    <t>Recommended before public launch.</t>
  </si>
  <si>
    <t>Run end-to-end flow testing</t>
  </si>
  <si>
    <t>Test signup → content → subscription → gating → payout → admin.</t>
  </si>
  <si>
    <t>Needed after core build is ready.</t>
  </si>
  <si>
    <t>Run security review</t>
  </si>
  <si>
    <t>Auth, media access, role checks, secrets, signed URLs, abuse risks.</t>
  </si>
  <si>
    <t>Run payment flow testing</t>
  </si>
  <si>
    <t>CCBill → Epoch cascade, subscription lifecycle, renewal, cancel, chargebacks.</t>
  </si>
  <si>
    <t>Critical for revenue reliability.</t>
  </si>
  <si>
    <t>Prepare soft-launch go/no-go checklist</t>
  </si>
  <si>
    <t>Define criteria for a limited launch.</t>
  </si>
  <si>
    <t>Useful before broad release.</t>
  </si>
  <si>
    <t>Prepare public launch checklist</t>
  </si>
  <si>
    <t>Confirm readiness: product, legal, payments, support, marketing.</t>
  </si>
  <si>
    <t>Final pre-launch checkpoint.</t>
  </si>
  <si>
    <t>Define post-launch bug triage process</t>
  </si>
  <si>
    <t>Severity rules and response rhythm for launch issues.</t>
  </si>
  <si>
    <t>Needed once public users arrive.</t>
  </si>
  <si>
    <t>Feature</t>
  </si>
  <si>
    <t>Category</t>
  </si>
  <si>
    <t>Why Later</t>
  </si>
  <si>
    <t>Priority</t>
  </si>
  <si>
    <t>Note</t>
  </si>
  <si>
    <t>Live streaming</t>
  </si>
  <si>
    <t>Engagement</t>
  </si>
  <si>
    <t>Delay until MVP stability and core monetization proven.</t>
  </si>
  <si>
    <t>Medium</t>
  </si>
  <si>
    <t>Explicitly deferred from MVP.</t>
  </si>
  <si>
    <t>Advanced chat / real-time messaging</t>
  </si>
  <si>
    <t>Keep richer chat out of first launch; basic DM only.</t>
  </si>
  <si>
    <t>Tipping</t>
  </si>
  <si>
    <t>Monetization</t>
  </si>
  <si>
    <t>Add after subscriptions and baseline payments are stable.</t>
  </si>
  <si>
    <t>High</t>
  </si>
  <si>
    <t>Pay-per-view content</t>
  </si>
  <si>
    <t>Delay until base subscription system works reliably.</t>
  </si>
  <si>
    <t>Advanced analytics</t>
  </si>
  <si>
    <t>Analytics</t>
  </si>
  <si>
    <t>Add richer creator/member analytics after launch.</t>
  </si>
  <si>
    <t>Recommendation engine</t>
  </si>
  <si>
    <t>Discovery</t>
  </si>
  <si>
    <t>Delay algorithmic rec until enough data exists.</t>
  </si>
  <si>
    <t>Low</t>
  </si>
  <si>
    <t>Multiple themes (beyond Sakura &amp; Dark Knight)</t>
  </si>
  <si>
    <t>Design</t>
  </si>
  <si>
    <t>Ship two strong default themes first, then add premium ones.</t>
  </si>
  <si>
    <t>Additional premium themes deferred post-MVP.</t>
  </si>
  <si>
    <t>Heavy gamification (Oasis / Drimys)</t>
  </si>
  <si>
    <t>Creature companion, XP leagues, Orbs system — charming but complex. Avoid v1 scope creep.</t>
  </si>
  <si>
    <t>Oasis page designed (Lumiveil creature shown). Defer until core loop is stable.</t>
  </si>
  <si>
    <t>Crypto payments (USDT/BTC)</t>
  </si>
  <si>
    <t>Planned but deferred until fiat payments proven.</t>
  </si>
  <si>
    <t>Research: self-hosted vs NowPayments/PayRam.</t>
  </si>
  <si>
    <t>Pumdoki Premium (Nitro-style)</t>
  </si>
  <si>
    <t>Banners, medals, badges for any paying user.</t>
  </si>
  <si>
    <t>Similar to Discord Nitro.</t>
  </si>
  <si>
    <t>Creator verification badges</t>
  </si>
  <si>
    <t>Trust &amp; Safety</t>
  </si>
  <si>
    <t>Verified creator program with identity checks.</t>
  </si>
  <si>
    <t>Adds trust; defer until creator base grows.</t>
  </si>
  <si>
    <t>Mobile app (iOS / Android)</t>
  </si>
  <si>
    <t>Platform</t>
  </si>
  <si>
    <t>Native mobile after web platform is stable.</t>
  </si>
  <si>
    <t>Web-first; mobile later.</t>
  </si>
  <si>
    <t>'Your Activity' page</t>
  </si>
  <si>
    <t>UX</t>
  </si>
  <si>
    <t>Activity history for members — posts liked, content purchased, Veso spent.</t>
  </si>
  <si>
    <t>Nice-to-have. Build post-launch if time is tight during MVP push.</t>
  </si>
  <si>
    <t>TikTok paid creator promotions</t>
  </si>
  <si>
    <t>Marketing</t>
  </si>
  <si>
    <t>Requires budget, live product, and something worth promoting. No point driving traffic before launch.</t>
  </si>
  <si>
    <t>Standard influencer marketing strategy. Frame campaigns as 'creator monetization platform' — avoid direct NSFW references to stay within TikTok ad policies. Revisit 1–2 months post-launch once conversion data exists.</t>
  </si>
  <si>
    <t>Kick platform integration / clipping strategy</t>
  </si>
  <si>
    <t>Partnerships</t>
  </si>
  <si>
    <t>Long-term scaling play requiring funding, an established creator base, and platform stability. Not a bootstrapped v1 move.</t>
  </si>
  <si>
    <t>Kick's permissive content policy makes it a natural partner platform long-term. Could drive creator and member acquisition at scale. Requires meaningful budget and an established Pumdoki audience first. Far-future item.</t>
  </si>
  <si>
    <t>Live streaming on Creator Dashboard</t>
  </si>
  <si>
    <t>"Re-enable the 'Live Streaming' feature by setting the conditional boolean to true, restoring both the sidebar navigation link and the main view component."</t>
  </si>
  <si>
    <t>Reactivate the livestream feature on the creator Dashboard after it's fully implemented on the website</t>
  </si>
  <si>
    <t>📝  Notes &amp; Assumptions</t>
  </si>
  <si>
    <t>Rule</t>
  </si>
  <si>
    <t>Detail</t>
  </si>
  <si>
    <t>1.0</t>
  </si>
  <si>
    <t>This workbook is based on prior Pumdoki planning context and session reviews through May 2026.</t>
  </si>
  <si>
    <t>2.0</t>
  </si>
  <si>
    <t>✅ Done = clearly locked in prior planning or confirmed in recent discussions.</t>
  </si>
  <si>
    <t>3.0</t>
  </si>
  <si>
    <t>🔄 In Progress = explicitly underway or being organized/planned.</t>
  </si>
  <si>
    <t>4.0</t>
  </si>
  <si>
    <t>📋 Not Started = required for launch but not confirmed as underway.</t>
  </si>
  <si>
    <t>5.0</t>
  </si>
  <si>
    <t>Master Tracker focuses on MVP/launch needs; the Backlog sheet captures post-MVP features.</t>
  </si>
  <si>
    <t>6.0</t>
  </si>
  <si>
    <t>Upload to Google Sheets for online collaboration — add owners and dates there.</t>
  </si>
  <si>
    <t>7.0</t>
  </si>
  <si>
    <t>Suggested next use: filter by Not Started to decide immediate work.</t>
  </si>
  <si>
    <t>8.0</t>
  </si>
  <si>
    <t>Legal/compliance expanded with 8 additional tasks from LoyalFans March 2026 gap analysis.</t>
  </si>
  <si>
    <t>9.0</t>
  </si>
  <si>
    <t>Admin dashboard (Phase 9) expanded — 13 subtasks covering all operator tools needed for an adult content platform.</t>
  </si>
  <si>
    <t>10.0</t>
  </si>
  <si>
    <t>Phase 6 expanded — added: Veso wallet, NSFW toggle, Settings, Help/Support, Activity, modal/drawer/chat fixes, creator dashboard.</t>
  </si>
  <si>
    <t>11.0</t>
  </si>
  <si>
    <t>Dark Knight theme added to Phase 3 — default theme #2, not premium. Must ship before or at launch.</t>
  </si>
  <si>
    <t>12.0</t>
  </si>
  <si>
    <t>Founding Creator / Member badge program added to Phase 3 — first 500 creators get reduced commission + permanent badge.</t>
  </si>
  <si>
    <t>🌸 Known Context Captured</t>
  </si>
  <si>
    <t>•</t>
  </si>
  <si>
    <t>Brand: pink/sakura aesthetic. Pearl/off-white on soft sakura pink. Soft, dreamy, intimate, polished, premium.</t>
  </si>
  <si>
    <t>Logo: minimal heart + sakura petal + subtle heartbeat icon + rounded sans-serif wordmark.</t>
  </si>
  <si>
    <t>Motto: 'A space for creators, members, and real interaction.'</t>
  </si>
  <si>
    <t>Tiers: Standard Support (Doki 1, 2, 3), Premium Support (Super Doki 1, 2), Ultimate (Doki Legend).</t>
  </si>
  <si>
    <t>Creator themes: Floral (Petal→Bloom→Sakura→Golden Sakura→Eternal Sakura), Ember (Ember→Ignite→Flare→Inferno→Eternal Flame).</t>
  </si>
  <si>
    <t>Currency: Veso (1 Veso = 1 USD). Wallet page and admin Veso view both required.</t>
  </si>
  <si>
    <t>Infrastructure: AWS for app layer + RDS PostgreSQL for database.</t>
  </si>
  <si>
    <t>Media storage/CDN: Cloudflare R2 (NSFW-safe, free egress, no restrictive AUP on legal adult content).</t>
  </si>
  <si>
    <t>Primary processor: CCBill (industry standard for adult, recurring billing, multi-currency).</t>
  </si>
  <si>
    <t>Cascade fallback: Epoch (catches transactions CCBill declines).</t>
  </si>
  <si>
    <t>Future payment rail: Crypto (USDT/BTC) — planned post-MVP.</t>
  </si>
  <si>
    <t>Pumdoki Premium: banners, medals, badges — like Discord Nitro, open to any paying user. Post-MVP.</t>
  </si>
  <si>
    <t>NSFW content allowed from day 1. +18 toggle required in settings and feed.</t>
  </si>
  <si>
    <t>Admin dashboard: protected page inside Pumdoki, login-gated, founder-only. 13 subtasks defined.</t>
  </si>
  <si>
    <t>Dark Knight theme: second default theme. Charcoal/near-black + pink accent. CSS variable swap.</t>
  </si>
  <si>
    <t>Founding Creator/Member badge: first 500 creators = reduced fee + permanent badge. First 500 members = badge + discount.</t>
  </si>
  <si>
    <t>Git branches: Home, Landing, Store, Connect, Chat.</t>
  </si>
  <si>
    <t>Build style: visual/iterative — needs to see UI to know what to change.</t>
  </si>
  <si>
    <t>Privacy concern: Maryland biz records may expose identity linked to NSFW platform.</t>
  </si>
  <si>
    <t>Feed/story: heart story rail + For You/Following tabs confirmed in design.</t>
  </si>
  <si>
    <t>Homepage messaging avoids 'Softer'; should feel for everyone, not creator-first.</t>
  </si>
  <si>
    <t>Company structure: LLC recommended (US adult platforms standard). Epal, Fansly = LLC. OnlyFans = UK Ltd.</t>
  </si>
  <si>
    <t>Legal must be drafted BEFORE first creator is onboarded — not just before public launch.</t>
  </si>
  <si>
    <t>Oasis / Drimys gamification system (Lumiveil creature, XP, Orbs, leagues) — charming but deferred post-MVP.</t>
  </si>
  <si>
    <t>🚀 What You Do Next — Step by Step</t>
  </si>
  <si>
    <t>Here's the honest sequencing, split cleanly by track. You have momentum on the UI and you should finish it before switching contexts. The goal is to close every screen that touches a core user flow.</t>
  </si>
  <si>
    <t>UI Track</t>
  </si>
  <si>
    <t>Focus on front-end components and visual polish.</t>
  </si>
  <si>
    <r>
      <rPr>
        <rFont val="Calibri"/>
        <b/>
        <color theme="1"/>
      </rPr>
      <t>Week 1 — Fix the existing screens:</t>
    </r>
    <r>
      <rPr>
        <rFont val="Calibri"/>
        <color theme="1"/>
      </rPr>
      <t xml:space="preserve">
Start with the side drawer (1 day — darken colors, increase size). Then fix the Create Post modal — replace "What's on your mind?" with on-brand copy, add a locked/subscriber-only toggle to the compose UI, clean up the layout. Then fix the chat offline avatar and notification badge. These are all polish fixes on already-built components, so they're fast.</t>
    </r>
  </si>
  <si>
    <r>
      <rPr>
        <rFont val="Calibri"/>
        <b/>
        <color theme="1"/>
      </rPr>
      <t>Week 2 — Build the three critical missing screens:</t>
    </r>
    <r>
      <rPr>
        <rFont val="Calibri"/>
        <color theme="1"/>
      </rPr>
      <t xml:space="preserve">
The NSFW toggle first — it lives in settings and in the feed. Build the settings page around it (account info, theme toggle, NSFW toggle). The settings page is maybe 2 days of work given your existing component system. Then build the Veso wallet page — balance display, a simple "Add Funds" button (no real processing yet, just the UI), transaction history list with mock data. This is 2–3 days.</t>
    </r>
  </si>
  <si>
    <r>
      <rPr>
        <rFont val="Calibri"/>
        <b/>
        <color theme="1"/>
      </rPr>
      <t>Week 3 — Finish the lower priority UI items:</t>
    </r>
    <r>
      <rPr>
        <rFont val="Calibri"/>
        <color theme="1"/>
      </rPr>
      <t xml:space="preserve">
Dark Knight theme. This is mostly swapping CSS variables across your Tailwind config — 1–2 days if your design system is clean. Help/Support page is a half day. Your Activity page can wait until after backend — do not let it slow you down.</t>
    </r>
  </si>
  <si>
    <t>At the end of Week 3, you stop UI work. The remaining UI gaps (real payment flows, locked content previews, story behavior) will be built as part of the backend integration, not as standalone UI tasks.</t>
  </si>
  <si>
    <t>Legal Track</t>
  </si>
  <si>
    <r>
      <rPr>
        <rFont val="Calibri"/>
        <b/>
        <color theme="1"/>
      </rPr>
      <t>Ensure compliance and foundational legal structures.</t>
    </r>
    <r>
      <rPr>
        <rFont val="Calibri"/>
        <b val="0"/>
        <color theme="1"/>
      </rPr>
      <t xml:space="preserve"> You cannot do legal and UI at the same time in the same mental session, but you can time-box legal to 1–2 hours on certain days while UI work continues. Here is the correct order:</t>
    </r>
  </si>
  <si>
    <r>
      <rPr>
        <rFont val="Calibri"/>
        <b/>
        <color theme="1"/>
      </rPr>
      <t>Week 2 (parallel with UI) — LLC formation first</t>
    </r>
    <r>
      <rPr>
        <rFont val="Calibri"/>
        <color theme="1"/>
      </rPr>
      <t>. File your LLC in Maryland or Wyoming — this takes 30 minutes online and costs $150–$180. You need a legal entity before you can open a business bank account, apply for a CCBill merchant account, or file a trademark. This is the single most important legal step and it's also the easiest. Do it this week.</t>
    </r>
  </si>
  <si>
    <r>
      <rPr>
        <rFont val="Calibri"/>
        <b/>
        <color theme="1"/>
      </rPr>
      <t>Week 3 — Draft your Community Guidelines and Acceptable Use Policy yourself.</t>
    </r>
    <r>
      <rPr>
        <rFont val="Calibri"/>
        <color theme="1"/>
      </rPr>
      <t xml:space="preserve"> These are essentially policy decisions you've already made — write them down in plain language. This is 2–3 hours of writing. You do not need a lawyer for the first draft. These two documents are the most DIY-friendly because they reflect your own rules.</t>
    </r>
  </si>
  <si>
    <r>
      <rPr>
        <rFont val="Calibri"/>
        <b/>
        <color theme="1"/>
      </rPr>
      <t>Week 4 — Hire a lawyer for TOS and Privacy Policy.</t>
    </r>
    <r>
      <rPr>
        <rFont val="Calibri"/>
        <color theme="1"/>
      </rPr>
      <t xml:space="preserve"> Search for an attorney who has worked with adult content platforms or at minimum with subscription SaaS platforms. You want someone who knows GDPR and CCPA. Expect $800–$2,000 for a TOS + Privacy Policy package. Brief them on the platform, share your Community Guidelines draft, and let them produce the formal documents. This is not optional — a bad TOS is a liability, not a protection.</t>
    </r>
  </si>
  <si>
    <r>
      <rPr>
        <rFont val="Calibri"/>
        <b/>
        <color theme="1"/>
      </rPr>
      <t>Week 5 — Begin the 2257 compliance setup.</t>
    </r>
    <r>
      <rPr>
        <rFont val="Calibri"/>
        <color theme="1"/>
      </rPr>
      <t xml:space="preserve"> This is also not DIY. You need a compliance consultant or attorney who has specifically set up 2257 recordkeeping for an adult platform. The record requirements are specific and the federal exposure for getting it wrong is serious. Budget $500–$1,500 for this. You need this done before a single creator uploads adult content.</t>
    </r>
  </si>
  <si>
    <r>
      <rPr>
        <rFont val="Calibri"/>
        <b/>
        <color theme="1"/>
      </rPr>
      <t>Week 6 — Begin CCBill merchant account application</t>
    </r>
    <r>
      <rPr>
        <rFont val="Calibri"/>
        <color theme="1"/>
      </rPr>
      <t>. CCBill requires your TOS, AUP, and Privacy Policy to be live before they'll review your application. The review process takes 2–4 weeks. Apply as soon as those docs are live. You cannot take real payments without an approved CCBill merchant account — this is the longest external dependency in your entire timeline.</t>
    </r>
  </si>
  <si>
    <t>Backend Track</t>
  </si>
  <si>
    <t>Infrastructure, payments, and data management.</t>
  </si>
  <si>
    <t>Once UI is closed and legal is underway (not necessarily finished), pivot entirely to backend. Do not start backend while UI is still open — context switching between React UI work and Node/Express/PostgreSQL backend work will kill your velocity.</t>
  </si>
  <si>
    <r>
      <rPr>
        <rFont val="Calibri"/>
        <b/>
        <color theme="1"/>
      </rPr>
      <t xml:space="preserve">Weeks 4–5 — Environment and auth. </t>
    </r>
    <r>
      <rPr>
        <rFont val="Calibri"/>
        <color theme="1"/>
      </rPr>
      <t>Set up your AWS environments (local, staging, prod). Write your first real backend code: account creation, login/logout, session management, role assignment (creator / member / admin). This is the foundation everything else sits on.</t>
    </r>
  </si>
  <si>
    <r>
      <rPr>
        <rFont val="Calibri"/>
        <b/>
        <color theme="1"/>
      </rPr>
      <t>Weeks 6–8 — Core content and subscriptions</t>
    </r>
    <r>
      <rPr>
        <rFont val="Calibri"/>
        <color theme="1"/>
      </rPr>
      <t>. Build the content posting system, the subscription tier system, and the access gating logic. A member who subscribes to a creator should unlock their content. This is the core product loop.</t>
    </r>
  </si>
  <si>
    <r>
      <rPr>
        <rFont val="Calibri"/>
        <b/>
        <color theme="1"/>
      </rPr>
      <t>Weeks 9–10 — Payments.</t>
    </r>
    <r>
      <rPr>
        <rFont val="Calibri"/>
        <color theme="1"/>
      </rPr>
      <t xml:space="preserve"> Integrate CCBill (assuming your merchant account is approved by now). Build the subscription billing flow, the Veso wallet top-up, and the payment cascade to Epoch.</t>
    </r>
  </si>
  <si>
    <r>
      <rPr>
        <rFont val="Calibri"/>
        <b/>
        <color theme="1"/>
      </rPr>
      <t>Weeks 11–12 — Admin panel</t>
    </r>
    <r>
      <rPr>
        <rFont val="Calibri"/>
        <color theme="1"/>
      </rPr>
      <t>. Build the admin routes. Use your creator dashboard design as a reference for the admin layout. Priority order for the 13 admin tasks: operations overview → user/creator table → content mod queue → payments/payouts view → 2257 records → audit log. The chargeback dashboard and Veso admin view can come last.</t>
    </r>
  </si>
  <si>
    <r>
      <rPr>
        <rFont val="Calibri"/>
        <b/>
        <color theme="1"/>
      </rPr>
      <t xml:space="preserve">Weeks 13–14 — QA, beta prep, bug fixing. </t>
    </r>
    <r>
      <rPr>
        <rFont val="Calibri"/>
        <color theme="1"/>
      </rPr>
      <t>Invite 3–5 trusted creators to a private beta. Watch what breaks. Fix it. Do not skip this step — adult payment processors will immediately flag accounts with complaints, and you only get one reputation with CCBill.</t>
    </r>
  </si>
  <si>
    <t>Week 15+ — Soft launch.</t>
  </si>
  <si>
    <t>The single most important thing right now is to finish your UI this week and next, file your LLC, and get a lawyer briefed on your platform by Week 4. Everything else flows from those three actions.</t>
  </si>
  <si>
    <t>💸  Pumdoki — Expense &amp; Cost Tracker</t>
  </si>
  <si>
    <t>Solo founder, no funding — track every dollar.</t>
  </si>
  <si>
    <t>Item</t>
  </si>
  <si>
    <t>Type</t>
  </si>
  <si>
    <t>Estimated Cost</t>
  </si>
  <si>
    <t>Actual Cost</t>
  </si>
  <si>
    <t>Frequency</t>
  </si>
  <si>
    <t>🏦  ONE-TIME / SETUP COSTS</t>
  </si>
  <si>
    <t>CCBill Visa Registration Fee</t>
  </si>
  <si>
    <t>Payments</t>
  </si>
  <si>
    <t>One-time</t>
  </si>
  <si>
    <t>Once</t>
  </si>
  <si>
    <t>📋 Not Paid</t>
  </si>
  <si>
    <t>Required for US merchants to process Visa.</t>
  </si>
  <si>
    <t>CCBill Mastercard Registration Fee</t>
  </si>
  <si>
    <t>Required for US merchants to process MC.</t>
  </si>
  <si>
    <t>Epoch Setup Fee</t>
  </si>
  <si>
    <t>Typically free — Epoch acts as merchant of record.</t>
  </si>
  <si>
    <t>USPTO Trademark — 'Pumdoki'</t>
  </si>
  <si>
    <t>Legal</t>
  </si>
  <si>
    <t>Per class (IC 009, 035, 042). May need 2–3 classes.</t>
  </si>
  <si>
    <t>USPTO Trademark — 'Veso'</t>
  </si>
  <si>
    <t>Optional; consider after launch.</t>
  </si>
  <si>
    <t>LLC Formation (Maryland)</t>
  </si>
  <si>
    <t>MD Articles of Organization filing fee.</t>
  </si>
  <si>
    <t>ToS Lawyer</t>
  </si>
  <si>
    <t xml:space="preserve">ToS, Privacy Policy, etc. </t>
  </si>
  <si>
    <t>Registered Agent (annual)</t>
  </si>
  <si>
    <t>Annual</t>
  </si>
  <si>
    <t>Yearly</t>
  </si>
  <si>
    <t>Privacy shield for MD biz records. ~$100–150/yr.</t>
  </si>
  <si>
    <t>Domain Purchase (.com)</t>
  </si>
  <si>
    <t>Infrastructure</t>
  </si>
  <si>
    <t>Primary domain.</t>
  </si>
  <si>
    <t>Domain Variants (.net, .io)</t>
  </si>
  <si>
    <t>Optional — protect brand.</t>
  </si>
  <si>
    <t>📆  MONTHLY / RECURRING COSTS</t>
  </si>
  <si>
    <t>AWS EC2 (t3.small → t3.medium)</t>
  </si>
  <si>
    <t>Monthly</t>
  </si>
  <si>
    <t>Start small ($15–18), scale to medium ($30–35).</t>
  </si>
  <si>
    <t>AWS RDS PostgreSQL (db.t3.micro)</t>
  </si>
  <si>
    <t>Free tier covers 12 months if new AWS account.</t>
  </si>
  <si>
    <t>Cloudflare R2 Storage</t>
  </si>
  <si>
    <t>10GB free. $0.015/GB/mo after. Egress is free.</t>
  </si>
  <si>
    <t>Cloudflare R2 Operations</t>
  </si>
  <si>
    <t>10M Class B reads/mo free. Minimal at launch.</t>
  </si>
  <si>
    <t>SSL/TLS Certificate</t>
  </si>
  <si>
    <t>Free via Cloudflare or Let's Encrypt.</t>
  </si>
  <si>
    <t>Email Service (SES / Resend)</t>
  </si>
  <si>
    <t>SES: ~$0.10/1K emails. Free tier covers early use.</t>
  </si>
  <si>
    <t>Error Tracking (Sentry free tier)</t>
  </si>
  <si>
    <t>Free for 5K events/mo. Enough for launch.</t>
  </si>
  <si>
    <t>📊  PER-TRANSACTION COSTS (Variable)</t>
  </si>
  <si>
    <t>CCBill Transaction Fee</t>
  </si>
  <si>
    <t>Per-transaction</t>
  </si>
  <si>
    <t>Per txn</t>
  </si>
  <si>
    <t>Variable</t>
  </si>
  <si>
    <t>~10–14% per transaction. High-risk adult rate.</t>
  </si>
  <si>
    <t>Epoch Transaction Fee</t>
  </si>
  <si>
    <t>~10–15% per transaction on cascaded payments.</t>
  </si>
  <si>
    <t>CCBill Chargeback Fee</t>
  </si>
  <si>
    <t>Per event</t>
  </si>
  <si>
    <t>Varies. Budget ~$20–25 per chargeback.</t>
  </si>
  <si>
    <t>🔮  OPTIONAL / FUTURE COSTS</t>
  </si>
  <si>
    <t>Crypto Payment Gateway</t>
  </si>
  <si>
    <t>Deferred</t>
  </si>
  <si>
    <t>Post-MVP. NowPayments ~1%/txn. Self-hosted = free.</t>
  </si>
  <si>
    <t>Content Watermarking Service</t>
  </si>
  <si>
    <t>Tools</t>
  </si>
  <si>
    <t>Evaluate after launch. May build in-house.</t>
  </si>
  <si>
    <t>DMCA Takedown Service</t>
  </si>
  <si>
    <t>Optional. Handle manually at first.</t>
  </si>
  <si>
    <t>📋  COST SUMMARY</t>
  </si>
  <si>
    <t>Estimated One-Time Total</t>
  </si>
  <si>
    <t>Estimated Annual Total</t>
  </si>
  <si>
    <t>Estimated Monthly Total (launch)</t>
  </si>
  <si>
    <t>Estimated Year 1 Total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</si>
</sst>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0"/>
  </numFmts>
  <fonts count="16">
    <font>
      <sz val="11.0"/>
      <color theme="1"/>
      <name val="Calibri"/>
      <scheme val="minor"/>
    </font>
    <font>
      <b/>
      <sz val="16.0"/>
      <color rgb="FFFFFFFF"/>
      <name val="Arial"/>
    </font>
    <font/>
    <font>
      <sz val="11.0"/>
      <color rgb="FF666666"/>
      <name val="Arial"/>
    </font>
    <font>
      <b/>
      <sz val="12.0"/>
      <color rgb="FF3D1A3E"/>
      <name val="Arial"/>
    </font>
    <font>
      <b/>
      <sz val="11.0"/>
      <color theme="1"/>
      <name val="Arial"/>
    </font>
    <font>
      <sz val="10.0"/>
      <color rgb="FF444444"/>
      <name val="Arial"/>
    </font>
    <font>
      <color theme="1"/>
      <name val="Calibri"/>
      <scheme val="minor"/>
    </font>
    <font>
      <sz val="11.0"/>
      <color rgb="FFD85A8C"/>
      <name val="Arial"/>
    </font>
    <font>
      <b/>
      <sz val="11.0"/>
      <color rgb="FFFFFFFF"/>
      <name val="Arial"/>
    </font>
    <font>
      <b/>
      <sz val="12.0"/>
      <color rgb="FFFFFFFF"/>
      <name val="Arial"/>
    </font>
    <font>
      <b/>
      <sz val="11.0"/>
      <color rgb="FF000000"/>
      <name val="Arial"/>
    </font>
    <font>
      <sz val="11.0"/>
      <color theme="1"/>
      <name val="Arial"/>
    </font>
    <font>
      <b/>
      <color theme="1"/>
      <name val="Arial"/>
    </font>
    <font>
      <color theme="1"/>
      <name val="Arial"/>
    </font>
    <font>
      <b/>
      <color theme="1"/>
      <name val="Calibri"/>
      <scheme val="minor"/>
    </font>
  </fonts>
  <fills count="9">
    <fill>
      <patternFill patternType="none"/>
    </fill>
    <fill>
      <patternFill patternType="lightGray"/>
    </fill>
    <fill>
      <patternFill patternType="solid">
        <fgColor rgb="FF3D1A3E"/>
        <bgColor rgb="FF3D1A3E"/>
      </patternFill>
    </fill>
    <fill>
      <patternFill patternType="solid">
        <fgColor rgb="FFFAE1EC"/>
        <bgColor rgb="FFFAE1EC"/>
      </patternFill>
    </fill>
    <fill>
      <patternFill patternType="solid">
        <fgColor rgb="FFFFFFFF"/>
        <bgColor rgb="FFFFFFFF"/>
      </patternFill>
    </fill>
    <fill>
      <patternFill patternType="solid">
        <fgColor rgb="FFD85A8C"/>
        <bgColor rgb="FFD85A8C"/>
      </patternFill>
    </fill>
    <fill>
      <patternFill patternType="solid">
        <fgColor rgb="FFC6EFCE"/>
        <bgColor rgb="FFC6EFCE"/>
      </patternFill>
    </fill>
    <fill>
      <patternFill patternType="solid">
        <fgColor rgb="FFFFF2CC"/>
        <bgColor rgb="FFFFF2CC"/>
      </patternFill>
    </fill>
    <fill>
      <patternFill patternType="solid">
        <fgColor rgb="FFF4CCCC"/>
        <bgColor rgb="FFF4CCCC"/>
      </patternFill>
    </fill>
  </fills>
  <borders count="9">
    <border/>
    <border>
      <left/>
      <top/>
      <bottom/>
    </border>
    <border>
      <top/>
      <bottom/>
    </border>
    <border>
      <right/>
      <top/>
      <bottom/>
    </border>
    <border>
      <left/>
      <right/>
      <top/>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ttom style="thin">
        <color rgb="FFCCCCCC"/>
      </bottom>
    </border>
    <border>
      <left style="thin">
        <color rgb="FFCCCCCC"/>
      </left>
      <right style="thin">
        <color rgb="FFCCCCCC"/>
      </right>
    </border>
  </borders>
  <cellStyleXfs count="1">
    <xf borderId="0" fillId="0" fontId="0" numFmtId="0" applyAlignment="1" applyFont="1"/>
  </cellStyleXfs>
  <cellXfs count="71">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0" fontId="2" numFmtId="0" xfId="0" applyBorder="1" applyFont="1"/>
    <xf borderId="3" fillId="0" fontId="2" numFmtId="0" xfId="0" applyBorder="1" applyFont="1"/>
    <xf borderId="1" fillId="3" fontId="3" numFmtId="0" xfId="0" applyAlignment="1" applyBorder="1" applyFill="1" applyFont="1">
      <alignment horizontal="center" shrinkToFit="0" vertical="center" wrapText="0"/>
    </xf>
    <xf borderId="0" fillId="0" fontId="4" numFmtId="0" xfId="0" applyAlignment="1" applyFont="1">
      <alignment shrinkToFit="0" vertical="bottom" wrapText="0"/>
    </xf>
    <xf borderId="4" fillId="3" fontId="5" numFmtId="0" xfId="0" applyAlignment="1" applyBorder="1" applyFont="1">
      <alignment shrinkToFit="0" vertical="bottom" wrapText="0"/>
    </xf>
    <xf borderId="4" fillId="4" fontId="5" numFmtId="0" xfId="0" applyAlignment="1" applyBorder="1" applyFill="1" applyFont="1">
      <alignment shrinkToFit="0" vertical="bottom" wrapText="0"/>
    </xf>
    <xf borderId="4" fillId="3" fontId="5" numFmtId="164" xfId="0" applyAlignment="1" applyBorder="1" applyFont="1" applyNumberFormat="1">
      <alignment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7" numFmtId="0" xfId="0" applyAlignment="1" applyFont="1">
      <alignment readingOrder="0"/>
    </xf>
    <xf borderId="5" fillId="4" fontId="5" numFmtId="0" xfId="0" applyAlignment="1" applyBorder="1" applyFont="1">
      <alignment horizontal="center" shrinkToFit="0" vertical="center" wrapText="0"/>
    </xf>
    <xf borderId="1" fillId="3" fontId="8" numFmtId="0" xfId="0" applyAlignment="1" applyBorder="1" applyFont="1">
      <alignment horizontal="center" shrinkToFit="0" vertical="center" wrapText="0"/>
    </xf>
    <xf borderId="5" fillId="5" fontId="9" numFmtId="0" xfId="0" applyAlignment="1" applyBorder="1" applyFill="1" applyFont="1">
      <alignment horizontal="center" shrinkToFit="0" vertical="center" wrapText="0"/>
    </xf>
    <xf borderId="1" fillId="2" fontId="10" numFmtId="0" xfId="0" applyAlignment="1" applyBorder="1" applyFont="1">
      <alignment horizontal="left" shrinkToFit="0" vertical="center" wrapText="0"/>
    </xf>
    <xf borderId="5" fillId="4" fontId="11" numFmtId="0" xfId="0" applyAlignment="1" applyBorder="1" applyFont="1">
      <alignment horizontal="left" shrinkToFit="0" vertical="center" wrapText="1"/>
    </xf>
    <xf borderId="5" fillId="4" fontId="12" numFmtId="0" xfId="0" applyAlignment="1" applyBorder="1" applyFont="1">
      <alignment horizontal="left" shrinkToFit="0" vertical="center" wrapText="1"/>
    </xf>
    <xf borderId="5" fillId="6" fontId="5" numFmtId="0" xfId="0" applyAlignment="1" applyBorder="1" applyFill="1" applyFont="1">
      <alignment horizontal="center" shrinkToFit="0" vertical="center" wrapText="0"/>
    </xf>
    <xf borderId="5" fillId="4" fontId="6" numFmtId="0" xfId="0" applyAlignment="1" applyBorder="1" applyFont="1">
      <alignment horizontal="left" shrinkToFit="0" vertical="center" wrapText="1"/>
    </xf>
    <xf borderId="5" fillId="3" fontId="11" numFmtId="0" xfId="0" applyAlignment="1" applyBorder="1" applyFont="1">
      <alignment horizontal="left" shrinkToFit="0" vertical="center" wrapText="1"/>
    </xf>
    <xf borderId="5" fillId="3" fontId="12" numFmtId="0" xfId="0" applyAlignment="1" applyBorder="1" applyFont="1">
      <alignment horizontal="left" shrinkToFit="0" vertical="center" wrapText="1"/>
    </xf>
    <xf borderId="5" fillId="3" fontId="6" numFmtId="0" xfId="0" applyAlignment="1" applyBorder="1" applyFont="1">
      <alignment horizontal="left" shrinkToFit="0" vertical="center" wrapText="1"/>
    </xf>
    <xf borderId="5" fillId="7" fontId="5" numFmtId="0" xfId="0" applyAlignment="1" applyBorder="1" applyFill="1" applyFont="1">
      <alignment horizontal="center" shrinkToFit="0" vertical="center" wrapText="0"/>
    </xf>
    <xf borderId="5" fillId="8" fontId="5" numFmtId="0" xfId="0" applyAlignment="1" applyBorder="1" applyFill="1" applyFont="1">
      <alignment horizontal="center" shrinkToFit="0" vertical="center" wrapText="0"/>
    </xf>
    <xf borderId="5" fillId="3" fontId="11" numFmtId="0" xfId="0" applyAlignment="1" applyBorder="1" applyFont="1">
      <alignment horizontal="left" readingOrder="0" shrinkToFit="0" vertical="center" wrapText="1"/>
    </xf>
    <xf borderId="5" fillId="3" fontId="12" numFmtId="0" xfId="0" applyAlignment="1" applyBorder="1" applyFont="1">
      <alignment horizontal="left" readingOrder="0" shrinkToFit="0" vertical="center" wrapText="1"/>
    </xf>
    <xf borderId="5" fillId="3" fontId="6" numFmtId="0" xfId="0" applyAlignment="1" applyBorder="1" applyFont="1">
      <alignment horizontal="left" readingOrder="0" shrinkToFit="0" vertical="center" wrapText="1"/>
    </xf>
    <xf borderId="6" fillId="3" fontId="11" numFmtId="0" xfId="0" applyAlignment="1" applyBorder="1" applyFont="1">
      <alignment horizontal="left" shrinkToFit="0" vertical="center" wrapText="1"/>
    </xf>
    <xf borderId="6" fillId="3" fontId="12" numFmtId="0" xfId="0" applyAlignment="1" applyBorder="1" applyFont="1">
      <alignment horizontal="left" shrinkToFit="0" vertical="center" wrapText="1"/>
    </xf>
    <xf borderId="6" fillId="8" fontId="5" numFmtId="0" xfId="0" applyAlignment="1" applyBorder="1" applyFont="1">
      <alignment horizontal="center" shrinkToFit="0" vertical="center" wrapText="0"/>
    </xf>
    <xf borderId="6" fillId="3" fontId="6" numFmtId="0" xfId="0" applyAlignment="1" applyBorder="1" applyFont="1">
      <alignment horizontal="left" shrinkToFit="0" vertical="center" wrapText="1"/>
    </xf>
    <xf borderId="7" fillId="4" fontId="11" numFmtId="0" xfId="0" applyAlignment="1" applyBorder="1" applyFont="1">
      <alignment horizontal="left" shrinkToFit="0" vertical="center" wrapText="1"/>
    </xf>
    <xf borderId="7" fillId="4" fontId="12" numFmtId="0" xfId="0" applyAlignment="1" applyBorder="1" applyFont="1">
      <alignment horizontal="left" shrinkToFit="0" vertical="center" wrapText="1"/>
    </xf>
    <xf borderId="7" fillId="6" fontId="5" numFmtId="0" xfId="0" applyAlignment="1" applyBorder="1" applyFont="1">
      <alignment horizontal="center" shrinkToFit="0" vertical="center" wrapText="0"/>
    </xf>
    <xf borderId="7" fillId="4" fontId="6" numFmtId="0" xfId="0" applyAlignment="1" applyBorder="1" applyFont="1">
      <alignment horizontal="left" shrinkToFit="0" vertical="center" wrapText="1"/>
    </xf>
    <xf borderId="6" fillId="4" fontId="11" numFmtId="0" xfId="0" applyAlignment="1" applyBorder="1" applyFont="1">
      <alignment horizontal="left" shrinkToFit="0" vertical="center" wrapText="1"/>
    </xf>
    <xf borderId="6" fillId="4" fontId="12" numFmtId="0" xfId="0" applyAlignment="1" applyBorder="1" applyFont="1">
      <alignment horizontal="left" shrinkToFit="0" vertical="center" wrapText="1"/>
    </xf>
    <xf borderId="6" fillId="4" fontId="6" numFmtId="0" xfId="0" applyAlignment="1" applyBorder="1" applyFont="1">
      <alignment horizontal="left" shrinkToFit="0" vertical="center" wrapText="1"/>
    </xf>
    <xf borderId="7" fillId="8" fontId="5" numFmtId="0" xfId="0" applyAlignment="1" applyBorder="1" applyFont="1">
      <alignment horizontal="center" shrinkToFit="0" vertical="center" wrapText="0"/>
    </xf>
    <xf borderId="8" fillId="4" fontId="11" numFmtId="0" xfId="0" applyAlignment="1" applyBorder="1" applyFont="1">
      <alignment horizontal="left" readingOrder="0" shrinkToFit="0" vertical="center" wrapText="1"/>
    </xf>
    <xf borderId="8" fillId="4" fontId="12" numFmtId="0" xfId="0" applyAlignment="1" applyBorder="1" applyFont="1">
      <alignment horizontal="left" readingOrder="0" shrinkToFit="0" vertical="center" wrapText="1"/>
    </xf>
    <xf borderId="8" fillId="7" fontId="5" numFmtId="0" xfId="0" applyAlignment="1" applyBorder="1" applyFont="1">
      <alignment horizontal="center" shrinkToFit="0" vertical="center" wrapText="0"/>
    </xf>
    <xf borderId="8" fillId="4" fontId="6" numFmtId="0" xfId="0" applyAlignment="1" applyBorder="1" applyFont="1">
      <alignment horizontal="left" readingOrder="0" shrinkToFit="0" vertical="center" wrapText="1"/>
    </xf>
    <xf borderId="7" fillId="7" fontId="5" numFmtId="0" xfId="0" applyAlignment="1" applyBorder="1" applyFont="1">
      <alignment horizontal="center" shrinkToFit="0" vertical="center" wrapText="0"/>
    </xf>
    <xf borderId="0" fillId="4" fontId="11" numFmtId="0" xfId="0" applyAlignment="1" applyFont="1">
      <alignment horizontal="left" readingOrder="0"/>
    </xf>
    <xf borderId="0" fillId="4" fontId="12" numFmtId="0" xfId="0" applyAlignment="1" applyFont="1">
      <alignment horizontal="left" readingOrder="0"/>
    </xf>
    <xf borderId="0" fillId="4" fontId="12" numFmtId="0" xfId="0" applyAlignment="1" applyFont="1">
      <alignment horizontal="left" readingOrder="0" shrinkToFit="0" wrapText="1"/>
    </xf>
    <xf borderId="0" fillId="8" fontId="5" numFmtId="0" xfId="0" applyAlignment="1" applyFont="1">
      <alignment horizontal="center" readingOrder="0" shrinkToFit="0" wrapText="0"/>
    </xf>
    <xf borderId="0" fillId="3" fontId="11" numFmtId="0" xfId="0" applyAlignment="1" applyFont="1">
      <alignment horizontal="left" readingOrder="0"/>
    </xf>
    <xf borderId="0" fillId="3" fontId="12" numFmtId="0" xfId="0" applyAlignment="1" applyFont="1">
      <alignment horizontal="left" readingOrder="0"/>
    </xf>
    <xf borderId="0" fillId="3" fontId="12" numFmtId="0" xfId="0" applyAlignment="1" applyFont="1">
      <alignment horizontal="left" readingOrder="0" shrinkToFit="0" wrapText="1"/>
    </xf>
    <xf borderId="0" fillId="0" fontId="13" numFmtId="0" xfId="0" applyAlignment="1" applyFont="1">
      <alignment readingOrder="0"/>
    </xf>
    <xf borderId="0" fillId="0" fontId="14" numFmtId="0" xfId="0" applyAlignment="1" applyFont="1">
      <alignment readingOrder="0"/>
    </xf>
    <xf borderId="0" fillId="0" fontId="14" numFmtId="0" xfId="0" applyAlignment="1" applyFont="1">
      <alignment readingOrder="0" shrinkToFit="0" wrapText="1"/>
    </xf>
    <xf borderId="4" fillId="3" fontId="5" numFmtId="0" xfId="0" applyAlignment="1" applyBorder="1" applyFont="1">
      <alignment horizontal="center" shrinkToFit="0" vertical="center" wrapText="0"/>
    </xf>
    <xf borderId="4" fillId="3" fontId="12" numFmtId="0" xfId="0" applyAlignment="1" applyBorder="1" applyFont="1">
      <alignment horizontal="left" shrinkToFit="0" vertical="center" wrapText="1"/>
    </xf>
    <xf borderId="4" fillId="4" fontId="5" numFmtId="0" xfId="0" applyAlignment="1" applyBorder="1" applyFont="1">
      <alignment horizontal="center" shrinkToFit="0" vertical="center" wrapText="0"/>
    </xf>
    <xf borderId="4" fillId="4" fontId="12" numFmtId="0" xfId="0" applyAlignment="1" applyBorder="1" applyFont="1">
      <alignment horizontal="left" shrinkToFit="0" vertical="center" wrapText="1"/>
    </xf>
    <xf borderId="0" fillId="0" fontId="12" numFmtId="0" xfId="0" applyAlignment="1" applyFont="1">
      <alignment horizontal="center" shrinkToFit="0" vertical="bottom" wrapText="0"/>
    </xf>
    <xf borderId="0" fillId="0" fontId="12" numFmtId="0" xfId="0" applyAlignment="1" applyFont="1">
      <alignment horizontal="left" shrinkToFit="0" vertical="center" wrapText="1"/>
    </xf>
    <xf borderId="0" fillId="0" fontId="4" numFmtId="0" xfId="0" applyAlignment="1" applyFont="1">
      <alignment shrinkToFit="0" textRotation="0" vertical="top" wrapText="1"/>
    </xf>
    <xf borderId="0" fillId="0" fontId="7" numFmtId="0" xfId="0" applyAlignment="1" applyFont="1">
      <alignment shrinkToFit="0" vertical="top" wrapText="1"/>
    </xf>
    <xf borderId="0" fillId="0" fontId="7" numFmtId="0" xfId="0" applyAlignment="1" applyFont="1">
      <alignment readingOrder="0" shrinkToFit="0" vertical="top" wrapText="1"/>
    </xf>
    <xf borderId="0" fillId="0" fontId="15" numFmtId="0" xfId="0" applyAlignment="1" applyFont="1">
      <alignment readingOrder="0" shrinkToFit="0" vertical="top" wrapText="1"/>
    </xf>
    <xf borderId="0" fillId="0" fontId="7" numFmtId="0" xfId="0" applyAlignment="1" applyFont="1">
      <alignment horizontal="center" readingOrder="0" shrinkToFit="0" vertical="top" wrapText="1"/>
    </xf>
    <xf borderId="0" fillId="0" fontId="7" numFmtId="0" xfId="0" applyAlignment="1" applyFont="1">
      <alignment readingOrder="0" shrinkToFit="0" wrapText="1"/>
    </xf>
    <xf borderId="0" fillId="0" fontId="15" numFmtId="0" xfId="0" applyAlignment="1" applyFont="1">
      <alignment readingOrder="0" shrinkToFit="0" wrapText="1"/>
    </xf>
    <xf borderId="5" fillId="5" fontId="9" numFmtId="0" xfId="0" applyAlignment="1" applyBorder="1" applyFont="1">
      <alignment horizontal="center" shrinkToFit="0" vertical="center" wrapText="1"/>
    </xf>
    <xf borderId="4" fillId="3" fontId="5" numFmtId="165" xfId="0" applyAlignment="1" applyBorder="1" applyFont="1" applyNumberFormat="1">
      <alignment shrinkToFit="0" vertical="bottom" wrapText="0"/>
    </xf>
    <xf borderId="4" fillId="4" fontId="5" numFmtId="165" xfId="0" applyAlignment="1" applyBorder="1" applyFont="1" applyNumberForma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14.0"/>
    <col customWidth="1" min="3" max="3" width="6.0"/>
    <col customWidth="1" min="4" max="4" width="22.0"/>
    <col customWidth="1" min="5" max="5" width="14.0"/>
    <col customWidth="1" min="6" max="6" width="62.0"/>
    <col customWidth="1" min="7" max="26" width="8.71"/>
  </cols>
  <sheetData>
    <row r="1" ht="42.0" customHeight="1">
      <c r="A1" s="1" t="s">
        <v>0</v>
      </c>
      <c r="B1" s="2"/>
      <c r="C1" s="2"/>
      <c r="D1" s="2"/>
      <c r="E1" s="2"/>
      <c r="F1" s="2"/>
      <c r="G1" s="3"/>
    </row>
    <row r="2" ht="21.75" customHeight="1">
      <c r="A2" s="4" t="s">
        <v>1</v>
      </c>
      <c r="B2" s="2"/>
      <c r="C2" s="2"/>
      <c r="D2" s="2"/>
      <c r="E2" s="2"/>
      <c r="F2" s="2"/>
      <c r="G2" s="3"/>
    </row>
    <row r="3" ht="13.5" customHeight="1"/>
    <row r="4">
      <c r="A4" s="5" t="s">
        <v>2</v>
      </c>
      <c r="D4" s="5" t="s">
        <v>3</v>
      </c>
    </row>
    <row r="5">
      <c r="A5" s="6" t="s">
        <v>4</v>
      </c>
      <c r="B5" s="6">
        <f>COUNTIF('Master Tracker'!C4:C164,"✅ Done")+COUNTIF('Master Tracker'!C4:C164,"🔄 In Progress")+COUNTIF('Master Tracker'!C4:C164,"📋 Not Started")</f>
        <v>148</v>
      </c>
      <c r="D5" s="6" t="s">
        <v>5</v>
      </c>
      <c r="E5" s="6">
        <f>COUNTA(Backlog!A2:A30)</f>
        <v>16</v>
      </c>
    </row>
    <row r="6">
      <c r="A6" s="7" t="s">
        <v>6</v>
      </c>
      <c r="B6" s="7">
        <f>COUNTIF('Master Tracker'!C4:C164,"✅ Done")</f>
        <v>13</v>
      </c>
      <c r="D6" s="7" t="s">
        <v>7</v>
      </c>
      <c r="E6" s="7">
        <f>COUNTIF(Backlog!E2:E30,"📋 Not Started")</f>
        <v>13</v>
      </c>
    </row>
    <row r="7">
      <c r="A7" s="6" t="s">
        <v>8</v>
      </c>
      <c r="B7" s="6">
        <f>COUNTIF('Master Tracker'!C4:C164,"🔄 In Progress")</f>
        <v>40</v>
      </c>
    </row>
    <row r="8">
      <c r="A8" s="7" t="s">
        <v>7</v>
      </c>
      <c r="B8" s="7">
        <f>COUNTIF('Master Tracker'!C4:C164,"📋 Not Started")</f>
        <v>95</v>
      </c>
    </row>
    <row r="9">
      <c r="A9" s="6" t="s">
        <v>9</v>
      </c>
      <c r="B9" s="8">
        <f>IF(B5=0,0,B6/B5)</f>
        <v>0.08783783783783784</v>
      </c>
    </row>
    <row r="10" ht="13.5" customHeight="1"/>
    <row r="12">
      <c r="A12" s="9" t="s">
        <v>10</v>
      </c>
      <c r="C12" s="9" t="s">
        <v>11</v>
      </c>
    </row>
    <row r="13">
      <c r="A13" s="9" t="s">
        <v>6</v>
      </c>
      <c r="C13" s="31" t="inlineStr">
        <is>
          <t xml:space="preserve">• Statuses reconciled against the repository and founder decisions through June 28, 2026.</t>
        </is>
      </c>
    </row>
    <row r="14">
      <c r="A14" s="9" t="s">
        <v>8</v>
      </c>
      <c r="C14" s="10" t="s">
        <v>13</v>
      </c>
    </row>
    <row r="15">
      <c r="A15" s="9" t="s">
        <v>7</v>
      </c>
      <c r="C15" s="10" t="s">
        <v>14</v>
      </c>
    </row>
    <row r="16">
      <c r="C16" s="10" t="s">
        <v>15</v>
      </c>
    </row>
    <row r="17">
      <c r="C17" s="10" t="s">
        <v>16</v>
      </c>
    </row>
    <row r="18">
      <c r="C18" s="10" t="s">
        <v>17</v>
      </c>
    </row>
    <row r="19">
      <c r="C19" s="10" t="s">
        <v>18</v>
      </c>
    </row>
    <row r="20">
      <c r="C20" s="37" t="inlineStr">
        <is>
          <t xml:space="preserve">• Sakura Kiss Edition — updated June 28, 2026. Full repository/frontend Phase 1 is verified; detailed sequencing remains in PLAN.md.</t>
        </is>
      </c>
    </row>
    <row r="21" ht="15.75" customHeight="1">
      <c r="C21" s="11" t="s">
        <v>20</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1"/>
    <mergeCell ref="A2:G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0"/>
    <col customWidth="1" min="2" max="2" width="144.57"/>
    <col customWidth="1" min="3" max="3" width="18.0"/>
    <col customWidth="1" min="4" max="4" width="112.86"/>
    <col customWidth="1" min="5" max="5" width="9.71"/>
    <col customWidth="1" min="6" max="25" width="8.71"/>
  </cols>
  <sheetData>
    <row r="1" ht="42.0" customHeight="1">
      <c r="A1" s="1" t="s">
        <v>21</v>
      </c>
      <c r="B1" s="2"/>
      <c r="C1" s="2"/>
      <c r="D1" s="3"/>
      <c r="E1" s="12"/>
    </row>
    <row r="2" ht="24.0" customHeight="1">
      <c r="A2" s="13" t="s">
        <v>22</v>
      </c>
      <c r="B2" s="2"/>
      <c r="C2" s="2"/>
      <c r="D2" s="3"/>
      <c r="E2" s="12"/>
    </row>
    <row r="3" ht="25.5" customHeight="1">
      <c r="A3" s="14" t="s">
        <v>23</v>
      </c>
      <c r="B3" s="14" t="s">
        <v>24</v>
      </c>
      <c r="C3" s="14" t="s">
        <v>25</v>
      </c>
      <c r="D3" s="14" t="s">
        <v>26</v>
      </c>
      <c r="E3" s="12"/>
    </row>
    <row r="4" ht="27.75" customHeight="1">
      <c r="A4" s="15" t="s">
        <v>27</v>
      </c>
      <c r="B4" s="2"/>
      <c r="C4" s="2"/>
      <c r="D4" s="3"/>
    </row>
    <row r="5">
      <c r="A5" s="16" t="s">
        <v>28</v>
      </c>
      <c r="B5" s="17" t="s">
        <v>29</v>
      </c>
      <c r="C5" s="18" t="s">
        <v>6</v>
      </c>
      <c r="D5" s="19" t="s">
        <v>30</v>
      </c>
    </row>
    <row r="6">
      <c r="A6" s="20" t="s">
        <v>31</v>
      </c>
      <c r="B6" s="21" t="s">
        <v>32</v>
      </c>
      <c r="C6" s="18" t="s">
        <v>6</v>
      </c>
      <c r="D6" s="22" t="s">
        <v>33</v>
      </c>
    </row>
    <row r="7">
      <c r="A7" s="16" t="s">
        <v>34</v>
      </c>
      <c r="B7" s="17" t="s">
        <v>35</v>
      </c>
      <c r="C7" s="18" t="s">
        <v>6</v>
      </c>
      <c r="D7" s="19" t="s">
        <v>36</v>
      </c>
    </row>
    <row r="8">
      <c r="A8" s="20" t="s">
        <v>37</v>
      </c>
      <c r="B8" s="21" t="s">
        <v>38</v>
      </c>
      <c r="C8" s="23" t="s">
        <v>8</v>
      </c>
      <c r="D8" s="22" t="inlineStr">
        <is>
          <t xml:space="preserve">Detailed phased roadmap created in repository PLAN.md; tracker reconciliation continues.</t>
        </is>
      </c>
    </row>
    <row r="9">
      <c r="A9" s="16" t="s">
        <v>40</v>
      </c>
      <c r="B9" s="17" t="s">
        <v>41</v>
      </c>
      <c r="C9" s="24" t="s">
        <v>7</v>
      </c>
      <c r="D9" s="19" t="s">
        <v>42</v>
      </c>
    </row>
    <row r="10" ht="27.75" customHeight="1">
      <c r="A10" s="15" t="s">
        <v>43</v>
      </c>
      <c r="B10" s="2"/>
      <c r="C10" s="2"/>
      <c r="D10" s="3"/>
    </row>
    <row r="11">
      <c r="A11" s="16" t="s">
        <v>44</v>
      </c>
      <c r="B11" s="17" t="s">
        <v>45</v>
      </c>
      <c r="C11" s="23" t="s">
        <v>8</v>
      </c>
      <c r="D11" s="19" t="s">
        <v>46</v>
      </c>
    </row>
    <row r="12">
      <c r="A12" s="20" t="s">
        <v>47</v>
      </c>
      <c r="B12" s="21" t="s">
        <v>48</v>
      </c>
      <c r="C12" s="23" t="s">
        <v>8</v>
      </c>
      <c r="D12" s="22" t="s">
        <v>49</v>
      </c>
    </row>
    <row r="13">
      <c r="A13" s="16" t="s">
        <v>50</v>
      </c>
      <c r="B13" s="17" t="s">
        <v>51</v>
      </c>
      <c r="C13" s="23" t="s">
        <v>8</v>
      </c>
      <c r="D13" s="19" t="s">
        <v>52</v>
      </c>
    </row>
    <row r="14">
      <c r="A14" s="20" t="s">
        <v>53</v>
      </c>
      <c r="B14" s="21" t="s">
        <v>54</v>
      </c>
      <c r="C14" s="23" t="s">
        <v>8</v>
      </c>
      <c r="D14" s="22" t="s">
        <v>55</v>
      </c>
    </row>
    <row r="15">
      <c r="A15" s="16" t="s">
        <v>56</v>
      </c>
      <c r="B15" s="17" t="s">
        <v>57</v>
      </c>
      <c r="C15" s="23" t="s">
        <v>8</v>
      </c>
      <c r="D15" s="19" t="s">
        <v>58</v>
      </c>
    </row>
    <row r="16">
      <c r="A16" s="20" t="s">
        <v>59</v>
      </c>
      <c r="B16" s="21" t="s">
        <v>60</v>
      </c>
      <c r="C16" s="23" t="s">
        <v>8</v>
      </c>
      <c r="D16" s="22" t="s">
        <v>61</v>
      </c>
    </row>
    <row r="17">
      <c r="A17" s="16" t="s">
        <v>62</v>
      </c>
      <c r="B17" s="17" t="s">
        <v>63</v>
      </c>
      <c r="C17" s="23" t="s">
        <v>8</v>
      </c>
      <c r="D17" s="19" t="s">
        <v>64</v>
      </c>
    </row>
    <row r="18">
      <c r="A18" s="20" t="s">
        <v>65</v>
      </c>
      <c r="B18" s="21" t="s">
        <v>66</v>
      </c>
      <c r="C18" s="23" t="s">
        <v>8</v>
      </c>
      <c r="D18" s="22" t="s">
        <v>67</v>
      </c>
    </row>
    <row r="19">
      <c r="A19" s="16" t="s">
        <v>68</v>
      </c>
      <c r="B19" s="17" t="s">
        <v>69</v>
      </c>
      <c r="C19" s="23" t="s">
        <v>8</v>
      </c>
      <c r="D19" s="19" t="s">
        <v>70</v>
      </c>
    </row>
    <row r="20">
      <c r="A20" s="20" t="s">
        <v>71</v>
      </c>
      <c r="B20" s="21" t="s">
        <v>72</v>
      </c>
      <c r="C20" s="24" t="s">
        <v>7</v>
      </c>
      <c r="D20" s="22" t="inlineStr">
        <is>
          <t xml:space="preserve">CCBill/Epoch applications have not started. Assemble the compliance package in parallel with product development.</t>
        </is>
      </c>
    </row>
    <row r="21" ht="15.75" customHeight="1">
      <c r="A21" s="16" t="s">
        <v>74</v>
      </c>
      <c r="B21" s="17" t="s">
        <v>75</v>
      </c>
      <c r="C21" s="24" t="s">
        <v>7</v>
      </c>
      <c r="D21" s="19" t="s">
        <v>76</v>
      </c>
    </row>
    <row r="22" ht="15.75" customHeight="1">
      <c r="A22" s="20" t="s">
        <v>77</v>
      </c>
      <c r="B22" s="21" t="s">
        <v>78</v>
      </c>
      <c r="C22" s="24" t="s">
        <v>7</v>
      </c>
      <c r="D22" s="22" t="s">
        <v>79</v>
      </c>
    </row>
    <row r="23" ht="15.75" customHeight="1">
      <c r="A23" s="16" t="s">
        <v>80</v>
      </c>
      <c r="B23" s="17" t="s">
        <v>81</v>
      </c>
      <c r="C23" s="23" t="s">
        <v>8</v>
      </c>
      <c r="D23" s="19" t="s">
        <v>82</v>
      </c>
    </row>
    <row r="24" ht="15.75" customHeight="1">
      <c r="A24" s="20" t="s">
        <v>83</v>
      </c>
      <c r="B24" s="21" t="s">
        <v>84</v>
      </c>
      <c r="C24" s="23" t="s">
        <v>8</v>
      </c>
      <c r="D24" s="22" t="s">
        <v>85</v>
      </c>
    </row>
    <row r="25" ht="15.75" customHeight="1">
      <c r="A25" s="16" t="s">
        <v>86</v>
      </c>
      <c r="B25" s="17" t="s">
        <v>87</v>
      </c>
      <c r="C25" s="23" t="s">
        <v>8</v>
      </c>
      <c r="D25" s="19" t="inlineStr">
        <is>
          <t xml:space="preserve">Entity not filed. Evaluate Wyoming and other privacy/no-individual-income-tax candidates with an attorney and CPA; account for foreign qualification where the founder operates.</t>
        </is>
      </c>
    </row>
    <row r="26" ht="15.75" customHeight="1">
      <c r="A26" s="20" t="s">
        <v>89</v>
      </c>
      <c r="B26" s="21" t="s">
        <v>90</v>
      </c>
      <c r="C26" s="24" t="s">
        <v>7</v>
      </c>
      <c r="D26" s="22" t="s">
        <v>91</v>
      </c>
    </row>
    <row r="27" ht="15.75" customHeight="1">
      <c r="A27" s="16" t="s">
        <v>92</v>
      </c>
      <c r="B27" s="17" t="s">
        <v>93</v>
      </c>
      <c r="C27" s="24" t="s">
        <v>7</v>
      </c>
      <c r="D27" s="19" t="s">
        <v>94</v>
      </c>
    </row>
    <row r="28" ht="15.75" customHeight="1">
      <c r="A28" s="20" t="s">
        <v>95</v>
      </c>
      <c r="B28" s="21" t="s">
        <v>96</v>
      </c>
      <c r="C28" s="24" t="s">
        <v>7</v>
      </c>
      <c r="D28" s="22" t="s">
        <v>97</v>
      </c>
    </row>
    <row r="29" ht="15.75" customHeight="1">
      <c r="A29" s="16" t="s">
        <v>98</v>
      </c>
      <c r="B29" s="17" t="s">
        <v>99</v>
      </c>
      <c r="C29" s="24" t="s">
        <v>7</v>
      </c>
      <c r="D29" s="19" t="s">
        <v>100</v>
      </c>
    </row>
    <row r="30" ht="15.75" customHeight="1">
      <c r="A30" s="20" t="s">
        <v>101</v>
      </c>
      <c r="B30" s="21" t="s">
        <v>102</v>
      </c>
      <c r="C30" s="24" t="s">
        <v>7</v>
      </c>
      <c r="D30" s="22" t="s">
        <v>103</v>
      </c>
    </row>
    <row r="31" ht="15.75" customHeight="1">
      <c r="A31" s="16" t="s">
        <v>104</v>
      </c>
      <c r="B31" s="17" t="s">
        <v>105</v>
      </c>
      <c r="C31" s="24" t="s">
        <v>7</v>
      </c>
      <c r="D31" s="19" t="s">
        <v>106</v>
      </c>
    </row>
    <row r="32" ht="15.75" customHeight="1">
      <c r="A32" s="20" t="s">
        <v>107</v>
      </c>
      <c r="B32" s="21" t="s">
        <v>108</v>
      </c>
      <c r="C32" s="24" t="s">
        <v>7</v>
      </c>
      <c r="D32" s="22" t="s">
        <v>109</v>
      </c>
    </row>
    <row r="33" ht="15.75" customHeight="1">
      <c r="A33" s="16" t="s">
        <v>110</v>
      </c>
      <c r="B33" s="17" t="s">
        <v>111</v>
      </c>
      <c r="C33" s="24" t="s">
        <v>7</v>
      </c>
      <c r="D33" s="19" t="s">
        <v>112</v>
      </c>
    </row>
    <row r="34" ht="15.75" customHeight="1">
      <c r="A34" s="20" t="s">
        <v>113</v>
      </c>
      <c r="B34" s="21" t="s">
        <v>114</v>
      </c>
      <c r="C34" s="24" t="s">
        <v>7</v>
      </c>
      <c r="D34" s="22" t="s">
        <v>115</v>
      </c>
    </row>
    <row r="35" ht="27.75" customHeight="1">
      <c r="A35" s="15" t="s">
        <v>116</v>
      </c>
      <c r="B35" s="2"/>
      <c r="C35" s="2"/>
      <c r="D35" s="3"/>
    </row>
    <row r="36" ht="15.75" customHeight="1">
      <c r="A36" s="16" t="s">
        <v>117</v>
      </c>
      <c r="B36" s="17" t="s">
        <v>118</v>
      </c>
      <c r="C36" s="18" t="s">
        <v>6</v>
      </c>
      <c r="D36" s="19" t="s">
        <v>119</v>
      </c>
    </row>
    <row r="37" ht="15.75" customHeight="1">
      <c r="A37" s="20" t="s">
        <v>120</v>
      </c>
      <c r="B37" s="21" t="s">
        <v>121</v>
      </c>
      <c r="C37" s="23" t="s">
        <v>8</v>
      </c>
      <c r="D37" s="22" t="s">
        <v>122</v>
      </c>
    </row>
    <row r="38" ht="15.75" customHeight="1">
      <c r="A38" s="16" t="s">
        <v>123</v>
      </c>
      <c r="B38" s="17" t="s">
        <v>124</v>
      </c>
      <c r="C38" s="23" t="s">
        <v>8</v>
      </c>
      <c r="D38" s="19" t="s">
        <v>125</v>
      </c>
    </row>
    <row r="39" ht="15.75" customHeight="1">
      <c r="A39" s="20" t="s">
        <v>126</v>
      </c>
      <c r="B39" s="21" t="s">
        <v>127</v>
      </c>
      <c r="C39" s="18" t="s">
        <v>6</v>
      </c>
      <c r="D39" s="22" t="s">
        <v>128</v>
      </c>
    </row>
    <row r="40" ht="15.75" customHeight="1">
      <c r="A40" s="16" t="s">
        <v>129</v>
      </c>
      <c r="B40" s="17" t="s">
        <v>130</v>
      </c>
      <c r="C40" s="23" t="s">
        <v>8</v>
      </c>
      <c r="D40" s="19" t="s">
        <v>131</v>
      </c>
    </row>
    <row r="41" ht="15.75" customHeight="1">
      <c r="A41" s="20" t="s">
        <v>132</v>
      </c>
      <c r="B41" s="21" t="s">
        <v>133</v>
      </c>
      <c r="C41" s="23" t="s">
        <v>8</v>
      </c>
      <c r="D41" s="22" t="s">
        <v>134</v>
      </c>
    </row>
    <row r="42" ht="15.75" customHeight="1">
      <c r="A42" s="16" t="s">
        <v>135</v>
      </c>
      <c r="B42" s="17" t="s">
        <v>136</v>
      </c>
      <c r="C42" s="24" t="s">
        <v>7</v>
      </c>
      <c r="D42" s="19" t="s">
        <v>137</v>
      </c>
    </row>
    <row r="43" ht="15.75" customHeight="1">
      <c r="A43" s="20" t="s">
        <v>138</v>
      </c>
      <c r="B43" s="21" t="s">
        <v>139</v>
      </c>
      <c r="C43" s="24" t="s">
        <v>7</v>
      </c>
      <c r="D43" s="22" t="s">
        <v>140</v>
      </c>
    </row>
    <row r="44" ht="27.75" customHeight="1">
      <c r="A44" s="15" t="s">
        <v>141</v>
      </c>
      <c r="B44" s="2"/>
      <c r="C44" s="2"/>
      <c r="D44" s="3"/>
    </row>
    <row r="45" ht="15.75" customHeight="1">
      <c r="A45" s="16" t="s">
        <v>142</v>
      </c>
      <c r="B45" s="17" t="s">
        <v>143</v>
      </c>
      <c r="C45" s="18" t="s">
        <v>6</v>
      </c>
      <c r="D45" s="19" t="s">
        <v>144</v>
      </c>
    </row>
    <row r="46" ht="15.75" customHeight="1">
      <c r="A46" s="20" t="s">
        <v>145</v>
      </c>
      <c r="B46" s="21" t="s">
        <v>146</v>
      </c>
      <c r="C46" s="24" t="s">
        <v>7</v>
      </c>
      <c r="D46" s="22" t="s">
        <v>147</v>
      </c>
    </row>
    <row r="47" ht="15.75" customHeight="1">
      <c r="A47" s="16" t="s">
        <v>148</v>
      </c>
      <c r="B47" s="17" t="s">
        <v>149</v>
      </c>
      <c r="C47" s="24" t="inlineStr">
        <is>
          <t xml:space="preserve">📋 Not Started</t>
        </is>
      </c>
      <c r="D47" s="19" t="inlineStr">
        <is>
          <t xml:space="preserve">PostgreSQL and Prisma are recommended, but no production schema or migrations exist yet.</t>
        </is>
      </c>
    </row>
    <row r="48" ht="15.75" customHeight="1">
      <c r="A48" s="20" t="s">
        <v>151</v>
      </c>
      <c r="B48" s="21" t="s">
        <v>152</v>
      </c>
      <c r="C48" s="24" t="s">
        <v>7</v>
      </c>
      <c r="D48" s="22" t="s">
        <v>153</v>
      </c>
    </row>
    <row r="49" ht="15.75" customHeight="1">
      <c r="A49" s="16" t="s">
        <v>154</v>
      </c>
      <c r="B49" s="17" t="s">
        <v>155</v>
      </c>
      <c r="C49" s="23" t="inlineStr">
        <is>
          <t xml:space="preserve">🔄 In Progress</t>
        </is>
      </c>
      <c r="D49" s="19" t="inlineStr">
        <is>
          <t xml:space="preserve">API domains and /api/v1 sequencing are defined in PLAN.md; implementation has not begun.</t>
        </is>
      </c>
    </row>
    <row r="50" ht="15.75" customHeight="1">
      <c r="A50" s="20" t="s">
        <v>157</v>
      </c>
      <c r="B50" s="21" t="s">
        <v>158</v>
      </c>
      <c r="C50" s="24" t="s">
        <v>7</v>
      </c>
      <c r="D50" s="22" t="s">
        <v>159</v>
      </c>
    </row>
    <row r="51" ht="15.75" customHeight="1">
      <c r="A51" s="16" t="s">
        <v>160</v>
      </c>
      <c r="B51" s="17" t="s">
        <v>161</v>
      </c>
      <c r="C51" s="24" t="s">
        <v>7</v>
      </c>
      <c r="D51" s="19" t="s">
        <v>162</v>
      </c>
    </row>
    <row r="52" ht="15.75" customHeight="1">
      <c r="A52" s="20" t="s">
        <v>163</v>
      </c>
      <c r="B52" s="21" t="s">
        <v>164</v>
      </c>
      <c r="C52" s="24" t="s">
        <v>7</v>
      </c>
      <c r="D52" s="22" t="s">
        <v>165</v>
      </c>
    </row>
    <row r="53" ht="15.75" customHeight="1">
      <c r="A53" s="16" t="s">
        <v>166</v>
      </c>
      <c r="B53" s="17" t="s">
        <v>167</v>
      </c>
      <c r="C53" s="23" t="inlineStr">
        <is>
          <t xml:space="preserve">🔄 In Progress</t>
        </is>
      </c>
      <c r="D53" s="19" t="inlineStr">
        <is>
          <t xml:space="preserve">Repository CI now runs lint, unit tests, production build, and Playwright. Deployment automation remains for Phase 2/staging.</t>
        </is>
      </c>
    </row>
    <row r="54" ht="15.75" customHeight="1">
      <c r="A54" s="20" t="s">
        <v>169</v>
      </c>
      <c r="B54" s="21" t="s">
        <v>170</v>
      </c>
      <c r="C54" s="24" t="s">
        <v>7</v>
      </c>
      <c r="D54" s="22" t="s">
        <v>171</v>
      </c>
    </row>
    <row r="55" ht="27.75" customHeight="1">
      <c r="A55" s="15" t="s">
        <v>172</v>
      </c>
      <c r="B55" s="2"/>
      <c r="C55" s="2"/>
      <c r="D55" s="3"/>
    </row>
    <row r="56" ht="15.75" customHeight="1">
      <c r="A56" s="16" t="s">
        <v>173</v>
      </c>
      <c r="B56" s="17" t="s">
        <v>174</v>
      </c>
      <c r="C56" s="24" t="s">
        <v>7</v>
      </c>
      <c r="D56" s="19" t="s">
        <v>175</v>
      </c>
    </row>
    <row r="57" ht="15.75" customHeight="1">
      <c r="A57" s="20" t="s">
        <v>176</v>
      </c>
      <c r="B57" s="21" t="s">
        <v>177</v>
      </c>
      <c r="C57" s="24" t="s">
        <v>7</v>
      </c>
      <c r="D57" s="22" t="s">
        <v>178</v>
      </c>
    </row>
    <row r="58" ht="15.75" customHeight="1">
      <c r="A58" s="16" t="s">
        <v>179</v>
      </c>
      <c r="B58" s="17" t="s">
        <v>180</v>
      </c>
      <c r="C58" s="24" t="s">
        <v>7</v>
      </c>
      <c r="D58" s="19" t="s">
        <v>181</v>
      </c>
    </row>
    <row r="59" ht="15.75" customHeight="1">
      <c r="A59" s="20" t="s">
        <v>182</v>
      </c>
      <c r="B59" s="21" t="s">
        <v>183</v>
      </c>
      <c r="C59" s="23" t="inlineStr">
        <is>
          <t xml:space="preserve">🔄 In Progress</t>
        </is>
      </c>
      <c r="D59" s="19" t="inlineStr">
        <is>
          <t xml:space="preserve">Creator onboarding UI prototype exists. Real identity, agreement, tax, role, and approval workflows are pending.</t>
        </is>
      </c>
    </row>
    <row r="60" ht="15.75" customHeight="1">
      <c r="A60" s="16" t="s">
        <v>185</v>
      </c>
      <c r="B60" s="17" t="s">
        <v>186</v>
      </c>
      <c r="C60" s="24" t="s">
        <v>7</v>
      </c>
      <c r="D60" s="19" t="s">
        <v>187</v>
      </c>
    </row>
    <row r="61" ht="15.75" customHeight="1">
      <c r="A61" s="20" t="s">
        <v>188</v>
      </c>
      <c r="B61" s="21" t="s">
        <v>189</v>
      </c>
      <c r="C61" s="24" t="s">
        <v>7</v>
      </c>
      <c r="D61" s="22" t="s">
        <v>190</v>
      </c>
    </row>
    <row r="62" ht="15.75" customHeight="1">
      <c r="A62" s="16" t="s">
        <v>191</v>
      </c>
      <c r="B62" s="17" t="s">
        <v>192</v>
      </c>
      <c r="C62" s="24" t="s">
        <v>7</v>
      </c>
      <c r="D62" s="19" t="s">
        <v>193</v>
      </c>
    </row>
    <row r="63" ht="27.75" customHeight="1">
      <c r="A63" s="15" t="s">
        <v>194</v>
      </c>
      <c r="B63" s="2"/>
      <c r="C63" s="2"/>
      <c r="D63" s="3"/>
    </row>
    <row r="64" ht="15.75" customHeight="1">
      <c r="A64" s="16" t="s">
        <v>195</v>
      </c>
      <c r="B64" s="17" t="s">
        <v>196</v>
      </c>
      <c r="C64" s="18" t="s">
        <v>6</v>
      </c>
      <c r="D64" s="19" t="s">
        <v>197</v>
      </c>
    </row>
    <row r="65" ht="15.75" customHeight="1">
      <c r="A65" s="20" t="s">
        <v>198</v>
      </c>
      <c r="B65" s="21" t="s">
        <v>199</v>
      </c>
      <c r="C65" s="23" t="s">
        <v>8</v>
      </c>
      <c r="D65" s="22" t="s">
        <v>200</v>
      </c>
    </row>
    <row r="66" ht="15.75" customHeight="1">
      <c r="A66" s="16" t="s">
        <v>201</v>
      </c>
      <c r="B66" s="17" t="s">
        <v>202</v>
      </c>
      <c r="C66" s="23" t="s">
        <v>8</v>
      </c>
      <c r="D66" s="19" t="s">
        <v>203</v>
      </c>
    </row>
    <row r="67" ht="15.75" customHeight="1">
      <c r="A67" s="20" t="s">
        <v>204</v>
      </c>
      <c r="B67" s="21" t="s">
        <v>205</v>
      </c>
      <c r="C67" s="18" t="s">
        <v>6</v>
      </c>
      <c r="D67" s="22" t="s">
        <v>206</v>
      </c>
    </row>
    <row r="68" ht="15.75" customHeight="1">
      <c r="A68" s="16" t="s">
        <v>207</v>
      </c>
      <c r="B68" s="17" t="s">
        <v>208</v>
      </c>
      <c r="C68" s="23" t="s">
        <v>8</v>
      </c>
      <c r="D68" s="19" t="s">
        <v>209</v>
      </c>
    </row>
    <row r="69" ht="15.75" customHeight="1">
      <c r="A69" s="20" t="s">
        <v>210</v>
      </c>
      <c r="B69" s="21" t="s">
        <v>211</v>
      </c>
      <c r="C69" s="23" t="s">
        <v>8</v>
      </c>
      <c r="D69" s="22" t="s">
        <v>212</v>
      </c>
    </row>
    <row r="70" ht="15.75" customHeight="1">
      <c r="A70" s="16" t="s">
        <v>213</v>
      </c>
      <c r="B70" s="17" t="s">
        <v>214</v>
      </c>
      <c r="C70" s="18" t="s">
        <v>6</v>
      </c>
      <c r="D70" s="19" t="s">
        <v>215</v>
      </c>
    </row>
    <row r="71" ht="15.75" customHeight="1">
      <c r="A71" s="20" t="s">
        <v>216</v>
      </c>
      <c r="B71" s="21" t="s">
        <v>217</v>
      </c>
      <c r="C71" s="23" t="inlineStr">
        <is>
          <t xml:space="preserve">🔄 In Progress</t>
        </is>
      </c>
      <c r="D71" s="19" t="inlineStr">
        <is>
          <t xml:space="preserve">Locked preview UI exists; backend entitlement and protected media delivery remain.</t>
        </is>
      </c>
    </row>
    <row r="72" ht="15.75" customHeight="1">
      <c r="A72" s="16" t="s">
        <v>219</v>
      </c>
      <c r="B72" s="17" t="s">
        <v>220</v>
      </c>
      <c r="C72" s="23" t="inlineStr">
        <is>
          <t xml:space="preserve">🔄 In Progress</t>
        </is>
      </c>
      <c r="D72" s="19" t="inlineStr">
        <is>
          <t xml:space="preserve">Tier visuals exist. Launch tiers will be standardized; exact rules and backend enforcement remain.</t>
        </is>
      </c>
    </row>
    <row r="73" ht="15.75" customHeight="1">
      <c r="A73" s="20" t="s">
        <v>222</v>
      </c>
      <c r="B73" s="21" t="s">
        <v>223</v>
      </c>
      <c r="C73" s="23" t="s">
        <v>8</v>
      </c>
      <c r="D73" s="19" t="inlineStr">
        <is>
          <t xml:space="preserve">Launch-critical. UI prototype exists. Target four noticeable YouTube-like medium thumbnails on common large desktops, with more columns on wider screens.</t>
        </is>
      </c>
    </row>
    <row r="74" ht="15.75" customHeight="1">
      <c r="A74" s="16" t="s">
        <v>225</v>
      </c>
      <c r="B74" s="17" t="s">
        <v>226</v>
      </c>
      <c r="C74" s="23" t="s">
        <v>8</v>
      </c>
      <c r="D74" s="22" t="inlineStr">
        <is>
          <t xml:space="preserve">Launch-critical. UI prototype exists. Requires service configuration, availability, Veso booking, cancellation, reviews, and disputes.</t>
        </is>
      </c>
    </row>
    <row r="75" ht="15.75" customHeight="1">
      <c r="A75" s="20" t="s">
        <v>228</v>
      </c>
      <c r="B75" s="17" t="inlineStr">
        <is>
          <t xml:space="preserve">Real-time direct messaging using authenticated WebSockets. Advanced group/chat features remain post-MVP.</t>
        </is>
      </c>
      <c r="C75" s="23" t="inlineStr">
        <is>
          <t xml:space="preserve">🔄 In Progress</t>
        </is>
      </c>
      <c r="D75" s="19" t="inlineStr">
        <is>
          <t xml:space="preserve">Chat UI prototype exists. Persistence, WebSocket authorization, reconnect, read state, reporting, and rate limits are pending.</t>
        </is>
      </c>
    </row>
    <row r="76" ht="15.75" customHeight="1">
      <c r="A76" s="16" t="s">
        <v>231</v>
      </c>
      <c r="B76" s="17" t="s">
        <v>232</v>
      </c>
      <c r="C76" s="23" t="inlineStr">
        <is>
          <t xml:space="preserve">🔄 In Progress</t>
        </is>
      </c>
      <c r="D76" s="22" t="inlineStr">
        <is>
          <t xml:space="preserve">Wallet UI prototype exists. Add/recharge Veso needs an E-Pal Buff-inspired design plus real ledger/payment integration.</t>
        </is>
      </c>
    </row>
    <row r="77" ht="15.75" customHeight="1">
      <c r="A77" s="20" t="s">
        <v>234</v>
      </c>
      <c r="B77" s="17" t="inlineStr">
        <is>
          <t xml:space="preserve">User preference to hide or show explicit 18+ content across onboarding, Settings, feeds, search, Store, and Connect. Default hidden.</t>
        </is>
      </c>
      <c r="C77" s="24" t="s">
        <v>7</v>
      </c>
      <c r="D77" s="19" t="inlineStr">
        <is>
          <t xml:space="preserve">Launch-critical and separate from age verification. Preference must be enforced by APIs and queries, not only CSS.</t>
        </is>
      </c>
    </row>
    <row r="78" ht="15.75" customHeight="1">
      <c r="A78" s="16" t="s">
        <v>237</v>
      </c>
      <c r="B78" s="17" t="s">
        <v>238</v>
      </c>
      <c r="C78" s="24" t="s">
        <v>7</v>
      </c>
      <c r="D78" s="19" t="s">
        <v>239</v>
      </c>
    </row>
    <row r="79" ht="15.75" customHeight="1">
      <c r="A79" s="20" t="s">
        <v>240</v>
      </c>
      <c r="B79" s="21" t="s">
        <v>241</v>
      </c>
      <c r="C79" s="24" t="s">
        <v>7</v>
      </c>
      <c r="D79" s="22" t="s">
        <v>242</v>
      </c>
    </row>
    <row r="80" ht="15.75" customHeight="1">
      <c r="A80" s="16" t="s">
        <v>243</v>
      </c>
      <c r="B80" s="17" t="s">
        <v>244</v>
      </c>
      <c r="C80" s="24" t="s">
        <v>7</v>
      </c>
      <c r="D80" s="19" t="s">
        <v>245</v>
      </c>
    </row>
    <row r="81" ht="15.75" customHeight="1">
      <c r="A81" s="20" t="s">
        <v>246</v>
      </c>
      <c r="B81" s="21" t="s">
        <v>247</v>
      </c>
      <c r="C81" s="18" t="s">
        <v>6</v>
      </c>
      <c r="D81" s="22" t="s">
        <v>248</v>
      </c>
    </row>
    <row r="82" ht="15.75" customHeight="1">
      <c r="A82" s="16" t="s">
        <v>249</v>
      </c>
      <c r="B82" s="17" t="s">
        <v>250</v>
      </c>
      <c r="C82" s="18" t="s">
        <v>6</v>
      </c>
      <c r="D82" s="19" t="s">
        <v>251</v>
      </c>
    </row>
    <row r="83" ht="15.75" customHeight="1">
      <c r="A83" s="20" t="s">
        <v>252</v>
      </c>
      <c r="B83" s="21" t="s">
        <v>253</v>
      </c>
      <c r="C83" s="18" t="s">
        <v>6</v>
      </c>
      <c r="D83" s="22" t="s">
        <v>254</v>
      </c>
    </row>
    <row r="84" ht="30.75" customHeight="1">
      <c r="A84" s="16" t="s">
        <v>255</v>
      </c>
      <c r="B84" s="17" t="s">
        <v>256</v>
      </c>
      <c r="C84" s="23" t="inlineStr">
        <is>
          <t xml:space="preserve">🔄 In Progress</t>
        </is>
      </c>
      <c r="D84" s="22" t="inlineStr">
        <is>
          <t xml:space="preserve">Large UI prototype exists. Backend data, actions, reconciliation, and tests remain. Live Streaming stays disabled post-MVP.</t>
        </is>
      </c>
    </row>
    <row r="85" ht="18.75" customHeight="1">
      <c r="A85" s="25" t="s">
        <v>258</v>
      </c>
      <c r="B85" s="26" t="s">
        <v>259</v>
      </c>
      <c r="C85" s="18" t="s">
        <v>6</v>
      </c>
      <c r="D85" s="27" t="s">
        <v>260</v>
      </c>
    </row>
    <row r="86" ht="15.75" customHeight="1">
      <c r="A86" s="15" t="s">
        <v>261</v>
      </c>
      <c r="B86" s="2"/>
      <c r="C86" s="2"/>
      <c r="D86" s="3"/>
    </row>
    <row r="87" ht="15.75" customHeight="1">
      <c r="A87" s="16" t="s">
        <v>262</v>
      </c>
      <c r="B87" s="17" t="s">
        <v>263</v>
      </c>
      <c r="C87" s="24" t="s">
        <v>7</v>
      </c>
      <c r="D87" s="19" t="s">
        <v>264</v>
      </c>
    </row>
    <row r="88" ht="15.75" customHeight="1">
      <c r="A88" s="20" t="s">
        <v>265</v>
      </c>
      <c r="B88" s="21" t="s">
        <v>266</v>
      </c>
      <c r="C88" s="24" t="s">
        <v>7</v>
      </c>
      <c r="D88" s="22" t="s">
        <v>267</v>
      </c>
    </row>
    <row r="89" ht="15.75" customHeight="1">
      <c r="A89" s="16" t="s">
        <v>268</v>
      </c>
      <c r="B89" s="17" t="s">
        <v>269</v>
      </c>
      <c r="C89" s="24" t="s">
        <v>7</v>
      </c>
      <c r="D89" s="19" t="s">
        <v>270</v>
      </c>
    </row>
    <row r="90" ht="15.75" customHeight="1">
      <c r="A90" s="20" t="s">
        <v>271</v>
      </c>
      <c r="B90" s="21" t="s">
        <v>272</v>
      </c>
      <c r="C90" s="24" t="s">
        <v>7</v>
      </c>
      <c r="D90" s="22" t="s">
        <v>273</v>
      </c>
    </row>
    <row r="91" ht="15.75" customHeight="1">
      <c r="A91" s="16" t="s">
        <v>274</v>
      </c>
      <c r="B91" s="17" t="s">
        <v>275</v>
      </c>
      <c r="C91" s="24" t="s">
        <v>7</v>
      </c>
      <c r="D91" s="19" t="s">
        <v>276</v>
      </c>
    </row>
    <row r="92" ht="27.75" customHeight="1">
      <c r="A92" s="28" t="s">
        <v>277</v>
      </c>
      <c r="B92" s="29" t="s">
        <v>278</v>
      </c>
      <c r="C92" s="30" t="s">
        <v>7</v>
      </c>
      <c r="D92" s="31" t="s">
        <v>279</v>
      </c>
    </row>
    <row r="93" ht="15.75" customHeight="1">
      <c r="A93" s="15" t="s">
        <v>280</v>
      </c>
      <c r="B93" s="2"/>
      <c r="C93" s="2"/>
      <c r="D93" s="3"/>
    </row>
    <row r="94" ht="15.75" customHeight="1">
      <c r="A94" s="32" t="s">
        <v>281</v>
      </c>
      <c r="B94" s="33" t="s">
        <v>282</v>
      </c>
      <c r="C94" s="24" t="inlineStr">
        <is>
          <t xml:space="preserve">📋 Not Started</t>
        </is>
      </c>
      <c r="D94" s="22" t="inlineStr">
        <is>
          <t xml:space="preserve">Processor selected, but merchant application and API/webhook integration have not started.</t>
        </is>
      </c>
    </row>
    <row r="95" ht="15.75" customHeight="1">
      <c r="A95" s="20" t="s">
        <v>284</v>
      </c>
      <c r="B95" s="21" t="s">
        <v>285</v>
      </c>
      <c r="C95" s="24" t="inlineStr">
        <is>
          <t xml:space="preserve">📋 Not Started</t>
        </is>
      </c>
      <c r="D95" s="19" t="inlineStr">
        <is>
          <t xml:space="preserve">Fallback provider selected, but application and technical integration have not started.</t>
        </is>
      </c>
    </row>
    <row r="96" ht="15.75" customHeight="1">
      <c r="A96" s="16" t="s">
        <v>287</v>
      </c>
      <c r="B96" s="17" t="s">
        <v>288</v>
      </c>
      <c r="C96" s="24" t="s">
        <v>7</v>
      </c>
      <c r="D96" s="22" t="inlineStr">
        <is>
          <t xml:space="preserve">Do not implement until CCBill and Epoch confirm the account-specific cascade design in writing.</t>
        </is>
      </c>
    </row>
    <row r="97" ht="15.75" customHeight="1">
      <c r="A97" s="20" t="s">
        <v>290</v>
      </c>
      <c r="B97" s="21" t="s">
        <v>291</v>
      </c>
      <c r="C97" s="24" t="s">
        <v>7</v>
      </c>
      <c r="D97" s="22" t="s">
        <v>292</v>
      </c>
    </row>
    <row r="98" ht="15.75" customHeight="1">
      <c r="A98" s="16" t="s">
        <v>293</v>
      </c>
      <c r="B98" s="17" t="s">
        <v>294</v>
      </c>
      <c r="C98" s="24" t="s">
        <v>7</v>
      </c>
      <c r="D98" s="19" t="s">
        <v>295</v>
      </c>
    </row>
    <row r="99" ht="15.75" customHeight="1">
      <c r="A99" s="20" t="s">
        <v>296</v>
      </c>
      <c r="B99" s="21" t="s">
        <v>297</v>
      </c>
      <c r="C99" s="24" t="s">
        <v>7</v>
      </c>
      <c r="D99" s="22" t="s">
        <v>298</v>
      </c>
    </row>
    <row r="100" ht="15.75" customHeight="1">
      <c r="A100" s="16" t="s">
        <v>299</v>
      </c>
      <c r="B100" s="17" t="s">
        <v>300</v>
      </c>
      <c r="C100" s="24" t="s">
        <v>7</v>
      </c>
      <c r="D100" s="19" t="s">
        <v>301</v>
      </c>
    </row>
    <row r="101" ht="15.75" customHeight="1">
      <c r="A101" s="20" t="s">
        <v>302</v>
      </c>
      <c r="B101" s="21" t="s">
        <v>303</v>
      </c>
      <c r="C101" s="23" t="inlineStr">
        <is>
          <t xml:space="preserve">🔄 In Progress</t>
        </is>
      </c>
      <c r="D101" s="19" t="inlineStr">
        <is>
          <t xml:space="preserve">Direction locked: prepaid credits, 1 Veso = 1 USD. Refund, transfer, expiration, promotional credit, and ledger policies remain.</t>
        </is>
      </c>
    </row>
    <row r="102" ht="15.75" customHeight="1">
      <c r="A102" s="16" t="s">
        <v>305</v>
      </c>
      <c r="B102" s="17" t="s">
        <v>306</v>
      </c>
      <c r="C102" s="24" t="s">
        <v>7</v>
      </c>
      <c r="D102" s="22" t="inlineStr">
        <is>
          <t xml:space="preserve">Founder decision pending. Model 20/25/30% platform fees against actual processor fees before promising a creator split.</t>
        </is>
      </c>
    </row>
    <row r="103" ht="15.75" customHeight="1">
      <c r="A103" s="20" t="s">
        <v>308</v>
      </c>
      <c r="B103" s="21" t="s">
        <v>309</v>
      </c>
      <c r="C103" s="24" t="s">
        <v>7</v>
      </c>
      <c r="D103" s="22" t="s">
        <v>310</v>
      </c>
    </row>
    <row r="104" ht="27.75" customHeight="1">
      <c r="A104" s="36" t="s">
        <v>311</v>
      </c>
      <c r="B104" s="37" t="s">
        <v>312</v>
      </c>
      <c r="C104" s="30" t="s">
        <v>7</v>
      </c>
      <c r="D104" s="38" t="s">
        <v>313</v>
      </c>
    </row>
    <row r="105" ht="15.75" customHeight="1">
      <c r="A105" s="15" t="s">
        <v>314</v>
      </c>
      <c r="B105" s="2"/>
      <c r="C105" s="2"/>
      <c r="D105" s="3"/>
    </row>
    <row r="106" ht="15.75" customHeight="1">
      <c r="A106" s="32" t="s">
        <v>315</v>
      </c>
      <c r="B106" s="33" t="s">
        <v>316</v>
      </c>
      <c r="C106" s="39" t="s">
        <v>7</v>
      </c>
      <c r="D106" s="35" t="s">
        <v>317</v>
      </c>
    </row>
    <row r="107" ht="15.75" customHeight="1">
      <c r="A107" s="20" t="s">
        <v>318</v>
      </c>
      <c r="B107" s="21" t="s">
        <v>319</v>
      </c>
      <c r="C107" s="24" t="s">
        <v>7</v>
      </c>
      <c r="D107" s="22" t="s">
        <v>320</v>
      </c>
    </row>
    <row r="108" ht="15.75" customHeight="1">
      <c r="A108" s="16" t="s">
        <v>321</v>
      </c>
      <c r="B108" s="17" t="s">
        <v>322</v>
      </c>
      <c r="C108" s="24" t="s">
        <v>7</v>
      </c>
      <c r="D108" s="19" t="s">
        <v>323</v>
      </c>
    </row>
    <row r="109" ht="15.75" customHeight="1">
      <c r="A109" s="20" t="s">
        <v>324</v>
      </c>
      <c r="B109" s="21" t="s">
        <v>325</v>
      </c>
      <c r="C109" s="24" t="s">
        <v>7</v>
      </c>
      <c r="D109" s="22" t="s">
        <v>326</v>
      </c>
    </row>
    <row r="110" ht="15.75" customHeight="1">
      <c r="A110" s="16" t="s">
        <v>327</v>
      </c>
      <c r="B110" s="17" t="s">
        <v>328</v>
      </c>
      <c r="C110" s="24" t="s">
        <v>7</v>
      </c>
      <c r="D110" s="19" t="s">
        <v>329</v>
      </c>
    </row>
    <row r="111" ht="15.75" customHeight="1">
      <c r="A111" s="20" t="s">
        <v>330</v>
      </c>
      <c r="B111" s="21" t="s">
        <v>331</v>
      </c>
      <c r="C111" s="24" t="s">
        <v>7</v>
      </c>
      <c r="D111" s="22" t="s">
        <v>332</v>
      </c>
    </row>
    <row r="112" ht="15.75" customHeight="1">
      <c r="A112" s="16" t="s">
        <v>333</v>
      </c>
      <c r="B112" s="17" t="s">
        <v>334</v>
      </c>
      <c r="C112" s="24" t="s">
        <v>7</v>
      </c>
      <c r="D112" s="19" t="s">
        <v>335</v>
      </c>
    </row>
    <row r="113" ht="15.75" customHeight="1">
      <c r="A113" s="20" t="s">
        <v>336</v>
      </c>
      <c r="B113" s="21" t="s">
        <v>337</v>
      </c>
      <c r="C113" s="24" t="s">
        <v>7</v>
      </c>
      <c r="D113" s="22" t="s">
        <v>338</v>
      </c>
    </row>
    <row r="114" ht="15.75" customHeight="1">
      <c r="A114" s="16" t="s">
        <v>339</v>
      </c>
      <c r="B114" s="17" t="s">
        <v>340</v>
      </c>
      <c r="C114" s="24" t="s">
        <v>7</v>
      </c>
      <c r="D114" s="19" t="s">
        <v>341</v>
      </c>
    </row>
    <row r="115" ht="15.75" customHeight="1">
      <c r="A115" s="20" t="s">
        <v>342</v>
      </c>
      <c r="B115" s="21" t="s">
        <v>343</v>
      </c>
      <c r="C115" s="24" t="s">
        <v>7</v>
      </c>
      <c r="D115" s="22" t="s">
        <v>344</v>
      </c>
    </row>
    <row r="116" ht="15.75" customHeight="1">
      <c r="A116" s="16" t="s">
        <v>345</v>
      </c>
      <c r="B116" s="17" t="s">
        <v>346</v>
      </c>
      <c r="C116" s="24" t="s">
        <v>7</v>
      </c>
      <c r="D116" s="19" t="s">
        <v>347</v>
      </c>
    </row>
    <row r="117" ht="15.75" customHeight="1">
      <c r="A117" s="20" t="s">
        <v>348</v>
      </c>
      <c r="B117" s="21" t="s">
        <v>349</v>
      </c>
      <c r="C117" s="24" t="s">
        <v>7</v>
      </c>
      <c r="D117" s="22" t="s">
        <v>350</v>
      </c>
    </row>
    <row r="118" ht="27.75" customHeight="1">
      <c r="A118" s="36" t="s">
        <v>351</v>
      </c>
      <c r="B118" s="37" t="s">
        <v>352</v>
      </c>
      <c r="C118" s="30" t="s">
        <v>7</v>
      </c>
      <c r="D118" s="38" t="s">
        <v>353</v>
      </c>
    </row>
    <row r="119" ht="15.75" customHeight="1">
      <c r="A119" s="15" t="s">
        <v>354</v>
      </c>
      <c r="B119" s="2"/>
      <c r="C119" s="2"/>
      <c r="D119" s="3"/>
    </row>
    <row r="120" ht="15.75" customHeight="1">
      <c r="A120" s="32" t="s">
        <v>355</v>
      </c>
      <c r="B120" s="33" t="s">
        <v>356</v>
      </c>
      <c r="C120" s="39" t="s">
        <v>7</v>
      </c>
      <c r="D120" s="35" t="s">
        <v>42</v>
      </c>
    </row>
    <row r="121" ht="15.75" customHeight="1">
      <c r="A121" s="20" t="s">
        <v>357</v>
      </c>
      <c r="B121" s="21" t="s">
        <v>358</v>
      </c>
      <c r="C121" s="24" t="s">
        <v>7</v>
      </c>
      <c r="D121" s="22" t="s">
        <v>359</v>
      </c>
    </row>
    <row r="122" ht="15.75" customHeight="1">
      <c r="A122" s="16" t="s">
        <v>360</v>
      </c>
      <c r="B122" s="17" t="s">
        <v>361</v>
      </c>
      <c r="C122" s="24" t="s">
        <v>7</v>
      </c>
      <c r="D122" s="19" t="s">
        <v>362</v>
      </c>
    </row>
    <row r="123" ht="15.75" customHeight="1">
      <c r="A123" s="20" t="s">
        <v>363</v>
      </c>
      <c r="B123" s="21" t="s">
        <v>364</v>
      </c>
      <c r="C123" s="24" t="s">
        <v>7</v>
      </c>
      <c r="D123" s="22" t="s">
        <v>365</v>
      </c>
    </row>
    <row r="124" ht="27.75" customHeight="1">
      <c r="A124" s="36" t="s">
        <v>366</v>
      </c>
      <c r="B124" s="37" t="s">
        <v>367</v>
      </c>
      <c r="C124" s="30" t="s">
        <v>7</v>
      </c>
      <c r="D124" s="22" t="inlineStr">
        <is>
          <t xml:space="preserve">Provider undecided. Evaluate Amazon SES first, confirm adult-business support, and use .example addresses until real mailboxes exist.</t>
        </is>
      </c>
    </row>
    <row r="125" ht="15.75" customHeight="1">
      <c r="A125" s="15" t="s">
        <v>369</v>
      </c>
      <c r="B125" s="2"/>
      <c r="C125" s="2"/>
      <c r="D125" s="3"/>
    </row>
    <row r="126" ht="15.75" customHeight="1">
      <c r="A126" s="32" t="s">
        <v>370</v>
      </c>
      <c r="B126" s="33" t="s">
        <v>371</v>
      </c>
      <c r="C126" s="39" t="s">
        <v>7</v>
      </c>
      <c r="D126" s="35" t="s">
        <v>372</v>
      </c>
    </row>
    <row r="127" ht="15.75" customHeight="1">
      <c r="A127" s="20" t="s">
        <v>373</v>
      </c>
      <c r="B127" s="21" t="s">
        <v>374</v>
      </c>
      <c r="C127" s="24" t="s">
        <v>7</v>
      </c>
      <c r="D127" s="22" t="s">
        <v>375</v>
      </c>
    </row>
    <row r="128" ht="15.75" customHeight="1">
      <c r="A128" s="16" t="s">
        <v>376</v>
      </c>
      <c r="B128" s="17" t="s">
        <v>377</v>
      </c>
      <c r="C128" s="24" t="s">
        <v>7</v>
      </c>
      <c r="D128" s="19" t="s">
        <v>378</v>
      </c>
    </row>
    <row r="129" ht="15.75" customHeight="1">
      <c r="A129" s="20" t="s">
        <v>379</v>
      </c>
      <c r="B129" s="21" t="s">
        <v>380</v>
      </c>
      <c r="C129" s="24" t="s">
        <v>7</v>
      </c>
      <c r="D129" s="22" t="s">
        <v>381</v>
      </c>
    </row>
    <row r="130" ht="15.75" customHeight="1">
      <c r="A130" s="16" t="s">
        <v>382</v>
      </c>
      <c r="B130" s="17" t="s">
        <v>383</v>
      </c>
      <c r="C130" s="24" t="s">
        <v>7</v>
      </c>
      <c r="D130" s="19" t="s">
        <v>384</v>
      </c>
    </row>
    <row r="131" ht="15.0" customHeight="1">
      <c r="A131" s="20" t="s">
        <v>385</v>
      </c>
      <c r="B131" s="21" t="s">
        <v>386</v>
      </c>
      <c r="C131" s="24" t="s">
        <v>7</v>
      </c>
      <c r="D131" s="22" t="s">
        <v>387</v>
      </c>
    </row>
    <row r="132" ht="15.75" customHeight="1">
      <c r="A132" s="40" t="s">
        <v>388</v>
      </c>
      <c r="B132" s="41" t="s">
        <v>389</v>
      </c>
      <c r="C132" s="42" t="s">
        <v>8</v>
      </c>
      <c r="D132" s="43" t="s">
        <v>384</v>
      </c>
    </row>
    <row r="133" ht="15.75" customHeight="1">
      <c r="A133" s="15" t="s">
        <v>390</v>
      </c>
      <c r="B133" s="2"/>
      <c r="C133" s="2"/>
      <c r="D133" s="3"/>
    </row>
    <row r="134" ht="15.75" customHeight="1">
      <c r="A134" s="32" t="s">
        <v>391</v>
      </c>
      <c r="B134" s="33" t="s">
        <v>392</v>
      </c>
      <c r="C134" s="44" t="s">
        <v>8</v>
      </c>
      <c r="D134" s="35" t="s">
        <v>393</v>
      </c>
    </row>
    <row r="135" ht="15.75" customHeight="1">
      <c r="A135" s="20" t="s">
        <v>394</v>
      </c>
      <c r="B135" s="21" t="s">
        <v>395</v>
      </c>
      <c r="C135" s="24" t="s">
        <v>7</v>
      </c>
      <c r="D135" s="22" t="s">
        <v>396</v>
      </c>
    </row>
    <row r="136" ht="15.75" customHeight="1">
      <c r="A136" s="16" t="s">
        <v>397</v>
      </c>
      <c r="B136" s="17" t="s">
        <v>398</v>
      </c>
      <c r="C136" s="24" t="s">
        <v>7</v>
      </c>
      <c r="D136" s="19" t="s">
        <v>399</v>
      </c>
    </row>
    <row r="137" ht="15.75" customHeight="1">
      <c r="A137" s="20" t="s">
        <v>400</v>
      </c>
      <c r="B137" s="21" t="s">
        <v>401</v>
      </c>
      <c r="C137" s="24" t="s">
        <v>7</v>
      </c>
      <c r="D137" s="22" t="s">
        <v>384</v>
      </c>
    </row>
    <row r="138" ht="15.75" customHeight="1">
      <c r="A138" s="16" t="s">
        <v>402</v>
      </c>
      <c r="B138" s="17" t="s">
        <v>403</v>
      </c>
      <c r="C138" s="24" t="s">
        <v>7</v>
      </c>
      <c r="D138" s="19" t="s">
        <v>404</v>
      </c>
    </row>
    <row r="139" ht="15.75" customHeight="1">
      <c r="A139" s="20" t="s">
        <v>405</v>
      </c>
      <c r="B139" s="21" t="s">
        <v>406</v>
      </c>
      <c r="C139" s="24" t="s">
        <v>7</v>
      </c>
      <c r="D139" s="22" t="s">
        <v>407</v>
      </c>
    </row>
    <row r="140" ht="15.75" customHeight="1">
      <c r="A140" s="16" t="s">
        <v>408</v>
      </c>
      <c r="B140" s="17" t="s">
        <v>409</v>
      </c>
      <c r="C140" s="24" t="s">
        <v>7</v>
      </c>
      <c r="D140" s="19" t="s">
        <v>410</v>
      </c>
    </row>
    <row r="141" ht="15.75" customHeight="1">
      <c r="A141" s="20" t="s">
        <v>411</v>
      </c>
      <c r="B141" s="21" t="s">
        <v>412</v>
      </c>
      <c r="C141" s="24" t="s">
        <v>7</v>
      </c>
      <c r="D141" s="22" t="s">
        <v>413</v>
      </c>
    </row>
    <row r="142" ht="27.75" customHeight="1">
      <c r="A142" s="15" t="inlineStr">
        <is>
          <t xml:space="preserve">🧭  PHASE 13 — June 2026 Scope &amp; Architecture Decisions</t>
        </is>
      </c>
      <c r="B142" s="2"/>
      <c r="C142" s="2"/>
      <c r="D142" s="3"/>
    </row>
    <row r="143" ht="31.5" customHeight="1">
      <c r="A143" s="16" t="inlineStr">
        <is>
          <t xml:space="preserve">Build Veso recharge UI</t>
        </is>
      </c>
      <c r="B143" s="17" t="inlineStr">
        <is>
          <t xml:space="preserve">Design and implement Add/Recharge Vesos with presets, payment summary, receipt, and transaction history. Visual reference: E-Pal Buff recharge.</t>
        </is>
      </c>
      <c r="C143" s="24" t="inlineStr">
        <is>
          <t xml:space="preserve">📋 Not Started</t>
        </is>
      </c>
      <c r="D143" s="19" t="inlineStr">
        <is>
          <t xml:space="preserve">Launch-critical. 1 Veso = 1 USD.</t>
        </is>
      </c>
    </row>
    <row r="144" ht="31.5" customHeight="1">
      <c r="A144" s="20" t="inlineStr">
        <is>
          <t xml:space="preserve">Define Veso terms and ledger policies</t>
        </is>
      </c>
      <c r="B144" s="21" t="inlineStr">
        <is>
          <t xml:space="preserve">Define purchased vs promotional Veso, refunds, expiration, transfer, account closure, chargebacks, and creator earnings conversion.</t>
        </is>
      </c>
      <c r="C144" s="23" t="inlineStr">
        <is>
          <t xml:space="preserve">🔄 In Progress</t>
        </is>
      </c>
      <c r="D144" s="22" t="inlineStr">
        <is>
          <t xml:space="preserve">Use E-Pal as product research only; draft independent policies for Pumdoki with processor/legal review.</t>
        </is>
      </c>
    </row>
    <row r="145" ht="31.5" customHeight="1">
      <c r="A145" s="16" t="inlineStr">
        <is>
          <t xml:space="preserve">Implement tipping / Send Love</t>
        </is>
      </c>
      <c r="B145" s="17" t="inlineStr">
        <is>
          <t xml:space="preserve">Allow members to tip creators using Veso with idempotent ledger transfers and creator pending earnings.</t>
        </is>
      </c>
      <c r="C145" s="24" t="inlineStr">
        <is>
          <t xml:space="preserve">📋 Not Started</t>
        </is>
      </c>
      <c r="D145" s="19" t="inlineStr">
        <is>
          <t xml:space="preserve">Moved from backlog into MVP launch scope.</t>
        </is>
      </c>
    </row>
    <row r="146" ht="31.5" customHeight="1">
      <c r="A146" s="20" t="inlineStr">
        <is>
          <t xml:space="preserve">Implement PPV purchases</t>
        </is>
      </c>
      <c r="B146" s="21" t="inlineStr">
        <is>
          <t xml:space="preserve">Allow members to unlock individual creator content with Veso and durable entitlement records.</t>
        </is>
      </c>
      <c r="C146" s="24" t="inlineStr">
        <is>
          <t xml:space="preserve">📋 Not Started</t>
        </is>
      </c>
      <c r="D146" s="22" t="inlineStr">
        <is>
          <t xml:space="preserve">Moved from backlog into MVP launch scope.</t>
        </is>
      </c>
    </row>
    <row r="147" ht="31.5" customHeight="1">
      <c r="A147" s="16" t="inlineStr">
        <is>
          <t xml:space="preserve">Implement real-time WebSocket messaging</t>
        </is>
      </c>
      <c r="B147" s="17" t="inlineStr">
        <is>
          <t xml:space="preserve">Authenticated direct messages with persistence, reconnect, read states, presence, rate limits, block, and report.</t>
        </is>
      </c>
      <c r="C147" s="24" t="inlineStr">
        <is>
          <t xml:space="preserve">📋 Not Started</t>
        </is>
      </c>
      <c r="D147" s="19" t="inlineStr">
        <is>
          <t xml:space="preserve">Basic real-time DMs are launch scope; advanced group/chat features remain post-MVP.</t>
        </is>
      </c>
    </row>
    <row r="148" ht="31.5" customHeight="1">
      <c r="A148" s="20" t="inlineStr">
        <is>
          <t xml:space="preserve">Complete Store for launch</t>
        </is>
      </c>
      <c r="B148" s="21" t="inlineStr">
        <is>
          <t xml:space="preserve">Connect Store tabs, search, purchase, history, favorites, liked content, filters, and responsive four-card desktop presentation to real data.</t>
        </is>
      </c>
      <c r="C148" s="23" t="inlineStr">
        <is>
          <t xml:space="preserve">🔄 In Progress</t>
        </is>
      </c>
      <c r="D148" s="22" t="inlineStr">
        <is>
          <t xml:space="preserve">UI prototype exists; backend and payment integration remain.</t>
        </is>
      </c>
    </row>
    <row r="149" ht="31.5" customHeight="1">
      <c r="A149" s="16" t="inlineStr">
        <is>
          <t xml:space="preserve">Complete Connect for launch</t>
        </is>
      </c>
      <c r="B149" s="17" t="inlineStr">
        <is>
          <t xml:space="preserve">Implement service setup, schedules, time zones, Veso booking, confirmations, cancellations, disputes, and reviews.</t>
        </is>
      </c>
      <c r="C149" s="23" t="inlineStr">
        <is>
          <t xml:space="preserve">🔄 In Progress</t>
        </is>
      </c>
      <c r="D149" s="19" t="inlineStr">
        <is>
          <t xml:space="preserve">UI prototype exists; full booking lifecycle remains.</t>
        </is>
      </c>
    </row>
    <row r="150" ht="31.5" customHeight="1">
      <c r="A150" s="20" t="inlineStr">
        <is>
          <t xml:space="preserve">Complete Oasis / Drimy for launch</t>
        </is>
      </c>
      <c r="B150" s="21" t="inlineStr">
        <is>
          <t xml:space="preserve">Create server-authoritative Drimy ownership, XP, Orbs, tasks, evolution, inventory, achievements, and daily resets.</t>
        </is>
      </c>
      <c r="C150" s="23" t="inlineStr">
        <is>
          <t xml:space="preserve">🔄 In Progress</t>
        </is>
      </c>
      <c r="D150" s="22" t="inlineStr">
        <is>
          <t xml:space="preserve">Moved from post-MVP into launch scope; current page is client-only mock logic.</t>
        </is>
      </c>
    </row>
    <row r="151" ht="31.5" customHeight="1">
      <c r="A151" s="16" t="inlineStr">
        <is>
          <t xml:space="preserve">Build Oasis collectibles and cosmetics</t>
        </is>
      </c>
      <c r="B151" s="17" t="inlineStr">
        <is>
          <t xml:space="preserve">Create collectible backgrounds, skins, frames, badges, equipped states, fixed-price store items, and reward inventory.</t>
        </is>
      </c>
      <c r="C151" s="24" t="inlineStr">
        <is>
          <t xml:space="preserve">📋 Not Started</t>
        </is>
      </c>
      <c r="D151" s="19" t="inlineStr">
        <is>
          <t xml:space="preserve">Primary objective is daily retention. Paid randomized rewards require separate review.</t>
        </is>
      </c>
    </row>
    <row r="152" ht="31.5" customHeight="1">
      <c r="A152" s="20" t="inlineStr">
        <is>
          <t xml:space="preserve">Implement explicit-content preference</t>
        </is>
      </c>
      <c r="B152" s="21" t="inlineStr">
        <is>
          <t xml:space="preserve">Add hide/show 18+ content choice to onboarding, Settings, feed, search, Store, and Connect; default hidden.</t>
        </is>
      </c>
      <c r="C152" s="24" t="inlineStr">
        <is>
          <t xml:space="preserve">📋 Not Started</t>
        </is>
      </c>
      <c r="D152" s="22" t="inlineStr">
        <is>
          <t xml:space="preserve">Launch-critical. Does not replace age checks.</t>
        </is>
      </c>
    </row>
    <row r="153" ht="31.5" customHeight="1">
      <c r="A153" s="16" t="inlineStr">
        <is>
          <t xml:space="preserve">Define international launch allowlist</t>
        </is>
      </c>
      <c r="B153" s="17" t="inlineStr">
        <is>
          <t xml:space="preserve">Enable countries only after payment, payout, identity, adult-content law, privacy, tax, sanctions, and support review.</t>
        </is>
      </c>
      <c r="C153" s="24" t="inlineStr">
        <is>
          <t xml:space="preserve">📋 Not Started</t>
        </is>
      </c>
      <c r="D153" s="19" t="inlineStr">
        <is>
          <t xml:space="preserve">Prioritize USA and selected Latin American countries; phase EU/EEA carefully.</t>
        </is>
      </c>
    </row>
    <row r="154" ht="31.5" customHeight="1">
      <c r="A154" s="20" t="inlineStr">
        <is>
          <t xml:space="preserve">Support Latin American creator onboarding</t>
        </is>
      </c>
      <c r="B154" s="21" t="inlineStr">
        <is>
          <t xml:space="preserve">Plan Spanish localization, local IDs, tax residency, payout support, time zones, and region-appropriate assistance.</t>
        </is>
      </c>
      <c r="C154" s="24" t="inlineStr">
        <is>
          <t xml:space="preserve">📋 Not Started</t>
        </is>
      </c>
      <c r="D154" s="22" t="inlineStr">
        <is>
          <t xml:space="preserve">Core creator acquisition requirement.</t>
        </is>
      </c>
    </row>
    <row r="155" ht="31.5" customHeight="1">
      <c r="A155" s="16" t="inlineStr">
        <is>
          <t xml:space="preserve">Select identity verification approach</t>
        </is>
      </c>
      <c r="B155" s="17" t="inlineStr">
        <is>
          <t xml:space="preserve">Compare specialist providers and a tightly controlled manual-beta workflow; design for later provider migration.</t>
        </is>
      </c>
      <c r="C155" s="24" t="inlineStr">
        <is>
          <t xml:space="preserve">📋 Not Started</t>
        </is>
      </c>
      <c r="D155" s="19" t="inlineStr">
        <is>
          <t xml:space="preserve">Manual review requires encrypted isolated storage, strict access, and audit logs.</t>
        </is>
      </c>
    </row>
    <row r="156" ht="31.5" customHeight="1">
      <c r="A156" s="20" t="inlineStr">
        <is>
          <t xml:space="preserve">Define initial media upload limits</t>
        </is>
      </c>
      <c r="B156" s="21" t="inlineStr">
        <is>
          <t xml:space="preserve">Start with cost-conscious limits and direct R2 uploads; measure beta storage/transcoding cost before raising limits.</t>
        </is>
      </c>
      <c r="C156" s="24" t="inlineStr">
        <is>
          <t xml:space="preserve">📋 Not Started</t>
        </is>
      </c>
      <c r="D156" s="22" t="inlineStr">
        <is>
          <t xml:space="preserve">Provisional: images 20 MB, video 1 GB/30 min, audio 250 MB, ID files 10 MB.</t>
        </is>
      </c>
    </row>
    <row r="157" ht="31.5" customHeight="1">
      <c r="A157" s="16" t="inlineStr">
        <is>
          <t xml:space="preserve">Select transactional email provider</t>
        </is>
      </c>
      <c r="B157" s="17" t="inlineStr">
        <is>
          <t xml:space="preserve">Evaluate Amazon SES first, verify adult-business support, and implement verification, reset, billing, moderation, and booking mail.</t>
        </is>
      </c>
      <c r="C157" s="24" t="inlineStr">
        <is>
          <t xml:space="preserve">📋 Not Started</t>
        </is>
      </c>
      <c r="D157" s="19" t="inlineStr">
        <is>
          <t xml:space="preserve">Use reserved sample addresses such as support@pumdoki.example until real inboxes exist.</t>
        </is>
      </c>
    </row>
    <row r="158" ht="31.5" customHeight="1">
      <c r="A158" s="20" t="inlineStr">
        <is>
          <t xml:space="preserve">Choose LLC state and privacy structure</t>
        </is>
      </c>
      <c r="B158" s="21" t="inlineStr">
        <is>
          <t xml:space="preserve">Compare Wyoming and other candidates with an adult-platform attorney and CPA; include registered agent, taxes, and foreign qualification.</t>
        </is>
      </c>
      <c r="C158" s="24" t="inlineStr">
        <is>
          <t xml:space="preserve">📋 Not Started</t>
        </is>
      </c>
      <c r="D158" s="22" t="inlineStr">
        <is>
          <t xml:space="preserve">No entity filed. A no-income-tax state does not by itself remove taxes or disclosure duties elsewhere.</t>
        </is>
      </c>
    </row>
    <row r="159" ht="31.5" customHeight="1">
      <c r="A159" s="16" t="inlineStr">
        <is>
          <t xml:space="preserve">Decide commission and payout model</t>
        </is>
      </c>
      <c r="B159" s="17" t="inlineStr">
        <is>
          <t xml:space="preserve">Model processor fees, chargebacks, refunds, taxes, platform fee, Founding Creator discount, payout cadence, and minimum.</t>
        </is>
      </c>
      <c r="C159" s="24" t="inlineStr">
        <is>
          <t xml:space="preserve">📋 Not Started</t>
        </is>
      </c>
      <c r="D159" s="19" t="inlineStr">
        <is>
          <t xml:space="preserve">Do not publish the current 80/20 mock copy until actual processor economics are known.</t>
        </is>
      </c>
    </row>
    <row r="160" ht="31.5" customHeight="1">
      <c r="A160" s="20" t="inlineStr">
        <is>
          <t xml:space="preserve">Define MVP Admin architecture</t>
        </is>
      </c>
      <c r="B160" s="21" t="inlineStr">
        <is>
          <t xml:space="preserve">Build protected /admin routes inside the web app with API-enforced roles, sensitive permissions, and immutable audit logs.</t>
        </is>
      </c>
      <c r="C160" s="23" t="inlineStr">
        <is>
          <t xml:space="preserve">🔄 In Progress</t>
        </is>
      </c>
      <c r="D160" s="22" t="inlineStr">
        <is>
          <t xml:space="preserve">Recommended architecture documented in PLAN.md; implementation remains.</t>
        </is>
      </c>
    </row>
    <row r="161" ht="31.5" customHeight="1">
      <c r="A161" s="16" t="inlineStr">
        <is>
          <t xml:space="preserve">Adopt TypeScript backend and shared contracts</t>
        </is>
      </c>
      <c r="B161" s="17" t="inlineStr">
        <is>
          <t xml:space="preserve">Keep the current web prototype in JavaScript initially; write new API/database/contracts in TypeScript and migrate frontend gradually.</t>
        </is>
      </c>
      <c r="C161" s="23" t="inlineStr">
        <is>
          <t xml:space="preserve">🔄 In Progress</t>
        </is>
      </c>
      <c r="D161" s="19" t="inlineStr">
        <is>
          <t xml:space="preserve">Full repository/frontend Phase 1 verified June 28, 2026. TypeScript API, contracts, and database implementation begins in Phase 2.</t>
        </is>
      </c>
    </row>
    <row r="162" ht="31.5" customHeight="1">
      <c r="A162" s="20" t="inlineStr">
        <is>
          <t xml:space="preserve">Replace prototype contact addresses</t>
        </is>
      </c>
      <c r="B162" s="21" t="inlineStr">
        <is>
          <t xml:space="preserve">Replace unconfigured production-looking emails with .example sample addresses until real domains and mailboxes are operational.</t>
        </is>
      </c>
      <c r="C162" s="24" t="inlineStr">
        <is>
          <t xml:space="preserve">📋 Not Started</t>
        </is>
      </c>
      <c r="D162" s="22" t="inlineStr">
        <is>
          <t xml:space="preserve">Legal and support UI must not imply nonexistent operations.</t>
        </is>
      </c>
    </row>
    <row r="163" ht="31.5" customHeight="1">
      <c r="A163" s="16" t="inlineStr">
        <is>
          <t xml:space="preserve">Prepare public-member / controlled-creator beta</t>
        </is>
      </c>
      <c r="B163" s="17" t="inlineStr">
        <is>
          <t xml:space="preserve">Allow public member registration when safe while onboarding creators through verification and approval controls.</t>
        </is>
      </c>
      <c r="C163" s="23" t="inlineStr">
        <is>
          <t xml:space="preserve">🔄 In Progress</t>
        </is>
      </c>
      <c r="D163" s="19" t="inlineStr">
        <is>
          <t xml:space="preserve">A few initial creators are available; member volume is not yet defined.</t>
        </is>
      </c>
    </row>
    <row r="164" ht="31.5" customHeight="1">
      <c r="A164" s="20" t="inlineStr">
        <is>
          <t xml:space="preserve">Confirm CCBill → Epoch cascade</t>
        </is>
      </c>
      <c r="B164" s="21" t="inlineStr">
        <is>
          <t xml:space="preserve">Obtain written technical and commercial confirmation before implementing fallback payment routing.</t>
        </is>
      </c>
      <c r="C164" s="24" t="inlineStr">
        <is>
          <t xml:space="preserve">📋 Not Started</t>
        </is>
      </c>
      <c r="D164" s="22" t="inlineStr">
        <is>
          <t xml:space="preserve">Merchant applications have not started.</t>
        </is>
      </c>
    </row>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63:D63"/>
    <mergeCell ref="A86:D86"/>
    <mergeCell ref="A93:D93"/>
    <mergeCell ref="A105:D105"/>
    <mergeCell ref="A119:D119"/>
    <mergeCell ref="A125:D125"/>
    <mergeCell ref="A133:D133"/>
    <mergeCell ref="A1:D1"/>
    <mergeCell ref="A2:D2"/>
    <mergeCell ref="A4:D4"/>
    <mergeCell ref="A10:D10"/>
    <mergeCell ref="A35:D35"/>
    <mergeCell ref="A44:D44"/>
    <mergeCell ref="A55:D55"/>
    <mergeCell ref="A142:D142"/>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9.14"/>
    <col customWidth="1" min="2" max="2" width="16.0"/>
    <col customWidth="1" min="3" max="3" width="52.0"/>
    <col customWidth="1" min="4" max="4" width="12.0"/>
    <col customWidth="1" min="5" max="5" width="18.0"/>
    <col customWidth="1" min="6" max="6" width="52.0"/>
    <col customWidth="1" min="7" max="26" width="8.71"/>
  </cols>
  <sheetData>
    <row r="1" ht="25.5" customHeight="1">
      <c r="A1" s="14" t="s">
        <v>414</v>
      </c>
      <c r="B1" s="14" t="s">
        <v>415</v>
      </c>
      <c r="C1" s="14" t="s">
        <v>416</v>
      </c>
      <c r="D1" s="14" t="s">
        <v>417</v>
      </c>
      <c r="E1" s="14" t="s">
        <v>25</v>
      </c>
      <c r="F1" s="14" t="s">
        <v>418</v>
      </c>
    </row>
    <row r="2">
      <c r="A2" s="20" t="s">
        <v>419</v>
      </c>
      <c r="B2" s="21" t="s">
        <v>420</v>
      </c>
      <c r="C2" s="21" t="s">
        <v>421</v>
      </c>
      <c r="D2" s="21" t="s">
        <v>422</v>
      </c>
      <c r="E2" s="24" t="s">
        <v>7</v>
      </c>
      <c r="F2" s="21" t="s">
        <v>423</v>
      </c>
    </row>
    <row r="3">
      <c r="A3" s="16" t="s">
        <v>424</v>
      </c>
      <c r="B3" s="17" t="s">
        <v>420</v>
      </c>
      <c r="C3" s="21" t="inlineStr">
        <is>
          <t xml:space="preserve">Advanced group chat, rich collaboration, and higher-complexity messaging remain later; basic authenticated WebSocket DMs moved to MVP.</t>
        </is>
      </c>
      <c r="D3" s="17" t="s">
        <v>422</v>
      </c>
      <c r="E3" s="24" t="s">
        <v>7</v>
      </c>
      <c r="F3" s="21" t="inlineStr">
        <is>
          <t xml:space="preserve">MVP includes real-time direct messages only. Advanced chat remains deferred.</t>
        </is>
      </c>
    </row>
    <row r="4">
      <c r="A4" s="20" t="s">
        <v>426</v>
      </c>
      <c r="B4" s="21" t="s">
        <v>427</v>
      </c>
      <c r="C4" s="21" t="inlineStr">
        <is>
          <t xml:space="preserve">Moved into the launch MVP by founder decision on June 21, 2026.</t>
        </is>
      </c>
      <c r="D4" s="21" t="inlineStr">
        <is>
          <t xml:space="preserve">Critical</t>
        </is>
      </c>
      <c r="E4" s="48" t="inlineStr">
        <is>
          <t xml:space="preserve">➡️ Moved to MVP</t>
        </is>
      </c>
      <c r="F4" s="21" t="inlineStr">
        <is>
          <t xml:space="preserve">Tracked in Master Tracker: Implement tipping / Send Love.</t>
        </is>
      </c>
    </row>
    <row r="5">
      <c r="A5" s="16" t="s">
        <v>430</v>
      </c>
      <c r="B5" s="17" t="s">
        <v>427</v>
      </c>
      <c r="C5" s="17" t="inlineStr">
        <is>
          <t xml:space="preserve">Moved into the launch MVP by founder decision on June 21, 2026.</t>
        </is>
      </c>
      <c r="D5" s="17" t="inlineStr">
        <is>
          <t xml:space="preserve">Critical</t>
        </is>
      </c>
      <c r="E5" s="48" t="inlineStr">
        <is>
          <t xml:space="preserve">➡️ Moved to MVP</t>
        </is>
      </c>
      <c r="F5" s="17" t="inlineStr">
        <is>
          <t xml:space="preserve">Tracked in Master Tracker: Implement PPV purchases.</t>
        </is>
      </c>
    </row>
    <row r="6">
      <c r="A6" s="20" t="s">
        <v>432</v>
      </c>
      <c r="B6" s="21" t="s">
        <v>433</v>
      </c>
      <c r="C6" s="21" t="s">
        <v>434</v>
      </c>
      <c r="D6" s="21" t="s">
        <v>422</v>
      </c>
      <c r="E6" s="24" t="s">
        <v>7</v>
      </c>
      <c r="F6" s="21" t="s">
        <v>423</v>
      </c>
    </row>
    <row r="7">
      <c r="A7" s="16" t="s">
        <v>435</v>
      </c>
      <c r="B7" s="17" t="s">
        <v>436</v>
      </c>
      <c r="C7" s="17" t="s">
        <v>437</v>
      </c>
      <c r="D7" s="17" t="s">
        <v>438</v>
      </c>
      <c r="E7" s="24" t="s">
        <v>7</v>
      </c>
      <c r="F7" s="17" t="s">
        <v>423</v>
      </c>
    </row>
    <row r="8">
      <c r="A8" s="20" t="s">
        <v>439</v>
      </c>
      <c r="B8" s="21" t="s">
        <v>440</v>
      </c>
      <c r="C8" s="21" t="s">
        <v>441</v>
      </c>
      <c r="D8" s="21" t="s">
        <v>438</v>
      </c>
      <c r="E8" s="24" t="s">
        <v>7</v>
      </c>
      <c r="F8" s="21" t="s">
        <v>442</v>
      </c>
    </row>
    <row r="9">
      <c r="A9" s="16" t="s">
        <v>443</v>
      </c>
      <c r="B9" s="17" t="s">
        <v>420</v>
      </c>
      <c r="C9" s="17" t="inlineStr">
        <is>
          <t xml:space="preserve">Moved into the launch MVP by founder decision on June 21, 2026.</t>
        </is>
      </c>
      <c r="D9" s="17" t="inlineStr">
        <is>
          <t xml:space="preserve">Critical</t>
        </is>
      </c>
      <c r="E9" s="48" t="inlineStr">
        <is>
          <t xml:space="preserve">➡️ Moved to MVP</t>
        </is>
      </c>
      <c r="F9" s="17" t="inlineStr">
        <is>
          <t xml:space="preserve">Oasis/Drimy is now launch scope for daily retention, collectibles, backgrounds, and skins.</t>
        </is>
      </c>
    </row>
    <row r="10">
      <c r="A10" s="20" t="s">
        <v>446</v>
      </c>
      <c r="B10" s="21" t="s">
        <v>427</v>
      </c>
      <c r="C10" s="21" t="s">
        <v>447</v>
      </c>
      <c r="D10" s="21" t="s">
        <v>422</v>
      </c>
      <c r="E10" s="24" t="s">
        <v>7</v>
      </c>
      <c r="F10" s="21" t="s">
        <v>448</v>
      </c>
    </row>
    <row r="11">
      <c r="A11" s="16" t="s">
        <v>449</v>
      </c>
      <c r="B11" s="17" t="s">
        <v>427</v>
      </c>
      <c r="C11" s="17" t="s">
        <v>450</v>
      </c>
      <c r="D11" s="17" t="s">
        <v>422</v>
      </c>
      <c r="E11" s="24" t="s">
        <v>7</v>
      </c>
      <c r="F11" s="17" t="s">
        <v>451</v>
      </c>
    </row>
    <row r="12">
      <c r="A12" s="20" t="s">
        <v>452</v>
      </c>
      <c r="B12" s="21" t="s">
        <v>453</v>
      </c>
      <c r="C12" s="21" t="s">
        <v>454</v>
      </c>
      <c r="D12" s="21" t="s">
        <v>422</v>
      </c>
      <c r="E12" s="24" t="s">
        <v>7</v>
      </c>
      <c r="F12" s="21" t="s">
        <v>455</v>
      </c>
    </row>
    <row r="13">
      <c r="A13" s="16" t="s">
        <v>456</v>
      </c>
      <c r="B13" s="17" t="s">
        <v>457</v>
      </c>
      <c r="C13" s="17" t="s">
        <v>458</v>
      </c>
      <c r="D13" s="17" t="s">
        <v>429</v>
      </c>
      <c r="E13" s="24" t="s">
        <v>7</v>
      </c>
      <c r="F13" s="17" t="s">
        <v>459</v>
      </c>
    </row>
    <row r="14">
      <c r="A14" s="20" t="s">
        <v>460</v>
      </c>
      <c r="B14" s="21" t="s">
        <v>461</v>
      </c>
      <c r="C14" s="21" t="s">
        <v>462</v>
      </c>
      <c r="D14" s="21" t="s">
        <v>438</v>
      </c>
      <c r="E14" s="24" t="s">
        <v>7</v>
      </c>
      <c r="F14" s="21" t="s">
        <v>463</v>
      </c>
    </row>
    <row r="15">
      <c r="A15" s="45" t="s">
        <v>464</v>
      </c>
      <c r="B15" s="46" t="s">
        <v>465</v>
      </c>
      <c r="C15" s="47" t="s">
        <v>466</v>
      </c>
      <c r="D15" s="46" t="s">
        <v>422</v>
      </c>
      <c r="E15" s="48" t="s">
        <v>7</v>
      </c>
      <c r="F15" s="47" t="s">
        <v>467</v>
      </c>
    </row>
    <row r="16">
      <c r="A16" s="49" t="s">
        <v>468</v>
      </c>
      <c r="B16" s="50" t="s">
        <v>469</v>
      </c>
      <c r="C16" s="51" t="s">
        <v>470</v>
      </c>
      <c r="D16" s="50" t="s">
        <v>438</v>
      </c>
      <c r="E16" s="48" t="s">
        <v>7</v>
      </c>
      <c r="F16" s="51" t="s">
        <v>471</v>
      </c>
    </row>
    <row r="17">
      <c r="A17" s="52" t="s">
        <v>472</v>
      </c>
      <c r="B17" s="53" t="s">
        <v>440</v>
      </c>
      <c r="C17" s="54" t="s">
        <v>473</v>
      </c>
      <c r="D17" s="53" t="s">
        <v>438</v>
      </c>
      <c r="E17" s="48" t="s">
        <v>7</v>
      </c>
      <c r="F17" s="54" t="s">
        <v>474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110.0"/>
    <col customWidth="1" min="3" max="26" width="8.71"/>
  </cols>
  <sheetData>
    <row r="1" ht="42.0" customHeight="1">
      <c r="A1" s="1" t="s">
        <v>475</v>
      </c>
      <c r="B1" s="3"/>
    </row>
    <row r="3">
      <c r="A3" s="14" t="s">
        <v>476</v>
      </c>
      <c r="B3" s="14" t="s">
        <v>477</v>
      </c>
    </row>
    <row r="4">
      <c r="A4" s="55" t="s">
        <v>478</v>
      </c>
      <c r="B4" s="58" t="inlineStr">
        <is>
          <t xml:space="preserve">This workbook is reconciled with the repository and founder decisions through June 28, 2026.</t>
        </is>
      </c>
    </row>
    <row r="5">
      <c r="A5" s="57" t="s">
        <v>480</v>
      </c>
      <c r="B5" s="58" t="s">
        <v>481</v>
      </c>
    </row>
    <row r="6">
      <c r="A6" s="55" t="s">
        <v>482</v>
      </c>
      <c r="B6" s="56" t="s">
        <v>483</v>
      </c>
    </row>
    <row r="7">
      <c r="A7" s="57" t="s">
        <v>484</v>
      </c>
      <c r="B7" s="58" t="s">
        <v>485</v>
      </c>
    </row>
    <row r="8">
      <c r="A8" s="55" t="s">
        <v>486</v>
      </c>
      <c r="B8" s="56" t="s">
        <v>487</v>
      </c>
    </row>
    <row r="9">
      <c r="A9" s="57" t="s">
        <v>488</v>
      </c>
      <c r="B9" s="58" t="s">
        <v>489</v>
      </c>
    </row>
    <row r="10">
      <c r="A10" s="55" t="s">
        <v>490</v>
      </c>
      <c r="B10" s="56" t="s">
        <v>491</v>
      </c>
    </row>
    <row r="11">
      <c r="A11" s="57" t="s">
        <v>492</v>
      </c>
      <c r="B11" s="58" t="s">
        <v>493</v>
      </c>
    </row>
    <row r="12">
      <c r="A12" s="55" t="s">
        <v>494</v>
      </c>
      <c r="B12" s="56" t="s">
        <v>495</v>
      </c>
    </row>
    <row r="13">
      <c r="A13" s="57" t="s">
        <v>496</v>
      </c>
      <c r="B13" s="58" t="s">
        <v>497</v>
      </c>
    </row>
    <row r="14">
      <c r="A14" s="55" t="s">
        <v>498</v>
      </c>
      <c r="B14" s="56" t="s">
        <v>499</v>
      </c>
    </row>
    <row r="15">
      <c r="A15" s="57" t="s">
        <v>500</v>
      </c>
      <c r="B15" s="58" t="s">
        <v>501</v>
      </c>
    </row>
    <row r="17">
      <c r="A17" s="5" t="s">
        <v>502</v>
      </c>
    </row>
    <row r="18">
      <c r="A18" s="59" t="s">
        <v>503</v>
      </c>
      <c r="B18" s="60" t="s">
        <v>504</v>
      </c>
    </row>
    <row r="19">
      <c r="A19" s="59" t="s">
        <v>503</v>
      </c>
      <c r="B19" s="60" t="s">
        <v>505</v>
      </c>
    </row>
    <row r="20">
      <c r="A20" s="59" t="s">
        <v>503</v>
      </c>
      <c r="B20" s="60" t="s">
        <v>506</v>
      </c>
    </row>
    <row r="21" ht="15.75" customHeight="1">
      <c r="A21" s="59" t="s">
        <v>503</v>
      </c>
      <c r="B21" s="60" t="s">
        <v>507</v>
      </c>
    </row>
    <row r="22" ht="15.75" customHeight="1">
      <c r="A22" s="59" t="s">
        <v>503</v>
      </c>
      <c r="B22" s="60" t="s">
        <v>508</v>
      </c>
    </row>
    <row r="23" ht="15.75" customHeight="1">
      <c r="A23" s="59" t="s">
        <v>503</v>
      </c>
      <c r="B23" s="60" t="s">
        <v>509</v>
      </c>
    </row>
    <row r="24" ht="15.75" customHeight="1">
      <c r="A24" s="59" t="s">
        <v>503</v>
      </c>
      <c r="B24" s="60" t="s">
        <v>510</v>
      </c>
    </row>
    <row r="25" ht="15.75" customHeight="1">
      <c r="A25" s="59" t="s">
        <v>503</v>
      </c>
      <c r="B25" s="60" t="s">
        <v>511</v>
      </c>
    </row>
    <row r="26" ht="15.75" customHeight="1">
      <c r="A26" s="59" t="s">
        <v>503</v>
      </c>
      <c r="B26" s="60" t="s">
        <v>512</v>
      </c>
    </row>
    <row r="27" ht="15.75" customHeight="1">
      <c r="A27" s="59" t="s">
        <v>503</v>
      </c>
      <c r="B27" s="60" t="s">
        <v>513</v>
      </c>
    </row>
    <row r="28" ht="15.75" customHeight="1">
      <c r="A28" s="59" t="s">
        <v>503</v>
      </c>
      <c r="B28" s="60" t="s">
        <v>514</v>
      </c>
    </row>
    <row r="29" ht="15.75" customHeight="1">
      <c r="A29" s="59" t="s">
        <v>503</v>
      </c>
      <c r="B29" s="60" t="s">
        <v>515</v>
      </c>
    </row>
    <row r="30" ht="15.75" customHeight="1">
      <c r="A30" s="59" t="s">
        <v>503</v>
      </c>
      <c r="B30" s="60" t="s">
        <v>516</v>
      </c>
    </row>
    <row r="31" ht="15.75" customHeight="1">
      <c r="A31" s="59" t="s">
        <v>503</v>
      </c>
      <c r="B31" s="60" t="s">
        <v>517</v>
      </c>
    </row>
    <row r="32" ht="15.75" customHeight="1">
      <c r="A32" s="59" t="s">
        <v>503</v>
      </c>
      <c r="B32" s="60" t="s">
        <v>518</v>
      </c>
    </row>
    <row r="33" ht="15.75" customHeight="1">
      <c r="A33" s="59" t="s">
        <v>503</v>
      </c>
      <c r="B33" s="60" t="s">
        <v>519</v>
      </c>
    </row>
    <row r="34" ht="15.75" customHeight="1">
      <c r="A34" s="59" t="s">
        <v>503</v>
      </c>
      <c r="B34" s="60" t="s">
        <v>520</v>
      </c>
    </row>
    <row r="35" ht="15.75" customHeight="1">
      <c r="A35" s="59" t="s">
        <v>503</v>
      </c>
      <c r="B35" s="60" t="s">
        <v>521</v>
      </c>
    </row>
    <row r="36" ht="15.75" customHeight="1">
      <c r="A36" s="59" t="s">
        <v>503</v>
      </c>
      <c r="B36" s="60" t="s">
        <v>522</v>
      </c>
    </row>
    <row r="37" ht="15.75" customHeight="1">
      <c r="A37" s="59" t="s">
        <v>503</v>
      </c>
      <c r="B37" s="60" t="s">
        <v>523</v>
      </c>
    </row>
    <row r="38" ht="15.75" customHeight="1">
      <c r="A38" s="59" t="s">
        <v>503</v>
      </c>
      <c r="B38" s="60" t="s">
        <v>524</v>
      </c>
    </row>
    <row r="39" ht="15.75" customHeight="1">
      <c r="A39" s="59" t="s">
        <v>503</v>
      </c>
      <c r="B39" s="60" t="s">
        <v>525</v>
      </c>
    </row>
    <row r="40" ht="15.75" customHeight="1">
      <c r="A40" s="59" t="s">
        <v>503</v>
      </c>
      <c r="B40" s="60" t="s">
        <v>526</v>
      </c>
    </row>
    <row r="41" ht="15.75" customHeight="1">
      <c r="A41" s="59" t="s">
        <v>503</v>
      </c>
      <c r="B41" s="60" t="inlineStr">
        <is>
          <t xml:space="preserve">Oasis / Drimys is now launch scope. It targets daily retention through XP, Orbs, evolution, tasks, backgrounds, skins, frames, badges, and collectibles.</t>
        </is>
      </c>
    </row>
    <row r="42" ht="15.75" customHeight="1"/>
    <row r="43" ht="15.75" customHeight="1">
      <c r="A43" s="61" t="inlineStr">
        <is>
          <t xml:space="preserve">🚀 Current Delivery Plan</t>
        </is>
      </c>
    </row>
    <row r="44" ht="15.75" customHeight="1">
      <c r="A44" s="62" t="inlineStr">
        <is>
          <t xml:space="preserve">Plan source</t>
        </is>
      </c>
      <c r="B44" s="63" t="inlineStr">
        <is>
          <t xml:space="preserve">The dependency-ordered roadmap is maintained in repository PLAN.md, which references @CLAUDE.md and requires recorded verification before any phase is marked complete.</t>
        </is>
      </c>
    </row>
    <row r="45" ht="15.75" customHeight="1">
      <c r="A45" s="65" t="inlineStr">
        <is>
          <t xml:space="preserve">Immediate 1</t>
        </is>
      </c>
      <c r="B45" s="66" t="inlineStr">
        <is>
          <t xml:space="preserve">Review and commit the repository restructuring and tracker.</t>
        </is>
      </c>
    </row>
    <row r="46" ht="15.75" customHeight="1">
      <c r="A46" s="65" t="inlineStr">
        <is>
          <t xml:space="preserve">Immediate 2</t>
        </is>
      </c>
      <c r="B46" s="66" t="inlineStr">
        <is>
          <t xml:space="preserve">Confirm the recommended Node + TypeScript + Express + PostgreSQL + Prisma backend stack.</t>
        </is>
      </c>
    </row>
    <row r="47" ht="15.75" customHeight="1">
      <c r="A47" s="65" t="inlineStr">
        <is>
          <t xml:space="preserve">Immediate 3</t>
        </is>
      </c>
      <c r="B47" s="66" t="inlineStr">
        <is>
          <t xml:space="preserve">Begin privacy-focused LLC attorney/CPA research and merchant application preparation in parallel.</t>
        </is>
      </c>
    </row>
    <row r="48" ht="15.75" customHeight="1">
      <c r="A48" s="65" t="inlineStr">
        <is>
          <t xml:space="preserve">Immediate 4</t>
        </is>
      </c>
      <c r="B48" s="66" t="inlineStr">
        <is>
          <t xml:space="preserve">Obtain CCBill/Epoch requirements, fee quotes, and written cascade guidance.</t>
        </is>
      </c>
    </row>
    <row r="49" ht="15.75" customHeight="1">
      <c r="B49" s="66" t="inlineStr">
        <is>
          <t xml:space="preserve">Full repository/frontend Phase 1 completed and verified June 28, 2026: lint 0 warnings, unit tests 12/12, production build passed, and Playwright 27/27. Phase 2 backend/database foundation is next.</t>
        </is>
      </c>
      <c r="A49" s="65" t="inlineStr">
        <is>
          <t xml:space="preserve">Immediate 5</t>
        </is>
      </c>
    </row>
    <row r="50" ht="15.75" customHeight="1">
      <c r="A50" s="64"/>
      <c r="B50" s="64"/>
    </row>
    <row r="51" ht="15.75" customHeight="1">
      <c r="A51" s="65"/>
      <c r="B51" s="66"/>
    </row>
    <row r="52" ht="15.75" customHeight="1">
      <c r="A52" s="65"/>
      <c r="B52" s="66"/>
    </row>
    <row r="53" ht="15.75" customHeight="1">
      <c r="A53" s="65"/>
      <c r="B53" s="66"/>
    </row>
    <row r="54" ht="15.75" customHeight="1">
      <c r="A54" s="65"/>
      <c r="B54" s="66"/>
    </row>
    <row r="55" ht="15.75" customHeight="1">
      <c r="A55" s="65"/>
      <c r="B55" s="66"/>
    </row>
    <row r="56" ht="15.75" customHeight="1">
      <c r="A56" s="64"/>
      <c r="B56" s="64"/>
    </row>
    <row r="57" ht="15.75" customHeight="1">
      <c r="B57" s="66"/>
    </row>
    <row r="58" ht="15.75" customHeight="1">
      <c r="A58" s="65"/>
      <c r="B58" s="66"/>
    </row>
    <row r="59" ht="15.75" customHeight="1">
      <c r="A59" s="65"/>
      <c r="B59" s="66"/>
    </row>
    <row r="60" ht="15.75" customHeight="1">
      <c r="A60" s="65"/>
      <c r="B60" s="66"/>
    </row>
    <row r="61" ht="15.75" customHeight="1">
      <c r="A61" s="65"/>
      <c r="B61" s="66"/>
    </row>
    <row r="62" ht="15.75" customHeight="1">
      <c r="A62" s="65"/>
      <c r="B62" s="66"/>
    </row>
    <row r="63" ht="15.75" customHeight="1">
      <c r="A63" s="64"/>
      <c r="B63" s="67"/>
    </row>
    <row r="64" ht="15.75" customHeight="1">
      <c r="B64" s="66"/>
    </row>
    <row r="65" ht="15.75" customHeight="1"/>
    <row r="66" ht="15.75" customHeight="1">
      <c r="A66" s="61" t="inlineStr">
        <is>
          <t xml:space="preserve">✅ June 21, 2026 — Confirmed Founder Decisions</t>
        </is>
      </c>
    </row>
    <row r="67" ht="28.5" customHeight="1">
      <c r="A67" s="65" t="inlineStr">
        <is>
          <t xml:space="preserve">•</t>
        </is>
      </c>
      <c r="B67" s="66" t="inlineStr">
        <is>
          <t xml:space="preserve">Oasis/Drimy must be functional at launch.</t>
        </is>
      </c>
    </row>
    <row r="68" ht="28.5" customHeight="1">
      <c r="A68" s="65" t="inlineStr">
        <is>
          <t xml:space="preserve">•</t>
        </is>
      </c>
      <c r="B68" s="66" t="inlineStr">
        <is>
          <t xml:space="preserve">Store and Connect are launch-critical.</t>
        </is>
      </c>
    </row>
    <row r="69" ht="28.5" customHeight="1">
      <c r="A69" s="65" t="inlineStr">
        <is>
          <t xml:space="preserve">•</t>
        </is>
      </c>
      <c r="B69" s="66" t="inlineStr">
        <is>
          <t xml:space="preserve">Tipping, Send Love, and PPV are MVP launch scope.</t>
        </is>
      </c>
    </row>
    <row r="70" ht="28.5" customHeight="1">
      <c r="A70" s="65" t="inlineStr">
        <is>
          <t xml:space="preserve">•</t>
        </is>
      </c>
      <c r="B70" s="66" t="inlineStr">
        <is>
          <t xml:space="preserve">Live streaming remains post-MVP.</t>
        </is>
      </c>
    </row>
    <row r="71" ht="28.5" customHeight="1">
      <c r="A71" s="65" t="inlineStr">
        <is>
          <t xml:space="preserve">•</t>
        </is>
      </c>
      <c r="B71" s="66" t="inlineStr">
        <is>
          <t xml:space="preserve">CCBill and Epoch merchant applications have not started and will proceed in parallel.</t>
        </is>
      </c>
    </row>
    <row r="72" ht="28.5" customHeight="1">
      <c r="A72" s="65" t="inlineStr">
        <is>
          <t xml:space="preserve">•</t>
        </is>
      </c>
      <c r="B72" s="66" t="inlineStr">
        <is>
          <t xml:space="preserve">CCBill-to-Epoch cascade behavior is not yet confirmed.</t>
        </is>
      </c>
    </row>
    <row r="73" ht="28.5" customHeight="1">
      <c r="A73" s="65" t="inlineStr">
        <is>
          <t xml:space="preserve">•</t>
        </is>
      </c>
      <c r="B73" s="66" t="inlineStr">
        <is>
          <t xml:space="preserve">Veso is prepaid platform credit: 1 Veso = 1 USD.</t>
        </is>
      </c>
    </row>
    <row r="74" ht="28.5" customHeight="1">
      <c r="A74" s="65" t="inlineStr">
        <is>
          <t xml:space="preserve">•</t>
        </is>
      </c>
      <c r="B74" s="66" t="inlineStr">
        <is>
          <t xml:space="preserve">E-Pal Buff is a product reference for recharge and behavior; Pumdoki needs independently drafted terms.</t>
        </is>
      </c>
    </row>
    <row r="75" ht="28.5" customHeight="1">
      <c r="A75" s="65" t="inlineStr">
        <is>
          <t xml:space="preserve">•</t>
        </is>
      </c>
      <c r="B75" s="66" t="inlineStr">
        <is>
          <t xml:space="preserve">Commission, Founding Creator discount, payout cadence, and minimum payout remain undecided.</t>
        </is>
      </c>
    </row>
    <row r="76" ht="28.5" customHeight="1">
      <c r="A76" s="65" t="inlineStr">
        <is>
          <t xml:space="preserve">•</t>
        </is>
      </c>
      <c r="B76" s="66" t="inlineStr">
        <is>
          <t xml:space="preserve">The LLC is not filed. Founder prioritizes privacy and is considering a no-individual-income-tax state.</t>
        </is>
      </c>
    </row>
    <row r="77" ht="28.5" customHeight="1">
      <c r="A77" s="65" t="inlineStr">
        <is>
          <t xml:space="preserve">•</t>
        </is>
      </c>
      <c r="B77" s="66" t="inlineStr">
        <is>
          <t xml:space="preserve">Recommended stack: TypeScript for new API/contracts, gradual frontend conversion, Express, PostgreSQL, and Prisma.</t>
        </is>
      </c>
    </row>
    <row r="78" ht="28.5" customHeight="1">
      <c r="A78" s="65" t="inlineStr">
        <is>
          <t xml:space="preserve">•</t>
        </is>
      </c>
      <c r="B78" s="66" t="inlineStr">
        <is>
          <t xml:space="preserve">Recommended auth: one Pumdoki-owned account/session system with optional OAuth login methods later.</t>
        </is>
      </c>
    </row>
    <row r="79" ht="28.5" customHeight="1">
      <c r="A79" s="65" t="inlineStr">
        <is>
          <t xml:space="preserve">•</t>
        </is>
      </c>
      <c r="B79" s="66" t="inlineStr">
        <is>
          <t xml:space="preserve">Recommended Admin: protected /admin feature inside the web app for MVP, enforced by API roles.</t>
        </is>
      </c>
    </row>
    <row r="80" ht="28.5" customHeight="1">
      <c r="A80" s="65" t="inlineStr">
        <is>
          <t xml:space="preserve">•</t>
        </is>
      </c>
      <c r="B80" s="66" t="inlineStr">
        <is>
          <t xml:space="preserve">International launch should use a phased country allowlist rather than enabling every country immediately.</t>
        </is>
      </c>
    </row>
    <row r="81" ht="28.5" customHeight="1">
      <c r="A81" s="65" t="inlineStr">
        <is>
          <t xml:space="preserve">•</t>
        </is>
      </c>
      <c r="B81" s="66" t="inlineStr">
        <is>
          <t xml:space="preserve">Latin American creators are a core audience and require Spanish, local ID, tax, and payout support.</t>
        </is>
      </c>
    </row>
    <row r="82" ht="28.5" customHeight="1">
      <c r="A82" s="65" t="inlineStr">
        <is>
          <t xml:space="preserve">•</t>
        </is>
      </c>
      <c r="B82" s="66" t="inlineStr">
        <is>
          <t xml:space="preserve">Identity verification may start with a tightly controlled manual beta only if security/legal controls exist; design for provider migration.</t>
        </is>
      </c>
    </row>
    <row r="83" ht="28.5" customHeight="1">
      <c r="A83" s="65" t="inlineStr">
        <is>
          <t xml:space="preserve">•</t>
        </is>
      </c>
      <c r="B83" s="66" t="inlineStr">
        <is>
          <t xml:space="preserve">Use cost-conscious initial media limits and direct Cloudflare R2 uploads.</t>
        </is>
      </c>
    </row>
    <row r="84" ht="28.5" customHeight="1">
      <c r="A84" s="65" t="inlineStr">
        <is>
          <t xml:space="preserve">•</t>
        </is>
      </c>
      <c r="B84" s="66" t="inlineStr">
        <is>
          <t xml:space="preserve">Keep performer/consent records simple in the UI while supporting multiple performers in the data model.</t>
        </is>
      </c>
    </row>
    <row r="85" ht="28.5" customHeight="1">
      <c r="A85" s="65" t="inlineStr">
        <is>
          <t xml:space="preserve">•</t>
        </is>
      </c>
      <c r="B85" s="66" t="inlineStr">
        <is>
          <t xml:space="preserve">Creator membership tiers are standardized.</t>
        </is>
      </c>
    </row>
    <row r="86" ht="28.5" customHeight="1">
      <c r="A86" s="65" t="inlineStr">
        <is>
          <t xml:space="preserve">•</t>
        </is>
      </c>
      <c r="B86" s="66" t="inlineStr">
        <is>
          <t xml:space="preserve">Store purchases use Veso.</t>
        </is>
      </c>
    </row>
    <row r="87" ht="28.5" customHeight="1">
      <c r="A87" s="65" t="inlineStr">
        <is>
          <t xml:space="preserve">•</t>
        </is>
      </c>
      <c r="B87" s="66" t="inlineStr">
        <is>
          <t xml:space="preserve">Connect bookings use Veso.</t>
        </is>
      </c>
    </row>
    <row r="88" ht="28.5" customHeight="1">
      <c r="A88" s="65" t="inlineStr">
        <is>
          <t xml:space="preserve">•</t>
        </is>
      </c>
      <c r="B88" s="66" t="inlineStr">
        <is>
          <t xml:space="preserve">MVP direct messaging uses real WebSockets.</t>
        </is>
      </c>
    </row>
    <row r="89" ht="28.5" customHeight="1">
      <c r="A89" s="65" t="inlineStr">
        <is>
          <t xml:space="preserve">•</t>
        </is>
      </c>
      <c r="B89" s="66" t="inlineStr">
        <is>
          <t xml:space="preserve">Email provider is undecided; evaluate Amazon SES and provider adult-business support.</t>
        </is>
      </c>
    </row>
    <row r="90" ht="28.5" customHeight="1">
      <c r="A90" s="65" t="inlineStr">
        <is>
          <t xml:space="preserve">•</t>
        </is>
      </c>
      <c r="B90" s="66" t="inlineStr">
        <is>
          <t xml:space="preserve">Use .example sample addresses until real operational mailboxes exist.</t>
        </is>
      </c>
    </row>
    <row r="91" ht="28.5" customHeight="1">
      <c r="A91" s="65" t="inlineStr">
        <is>
          <t xml:space="preserve">•</t>
        </is>
      </c>
      <c r="B91" s="66" t="inlineStr">
        <is>
          <t xml:space="preserve">No legal counsel has approved policies yet.</t>
        </is>
      </c>
    </row>
    <row r="92" ht="28.5" customHeight="1">
      <c r="A92" s="65" t="inlineStr">
        <is>
          <t xml:space="preserve">•</t>
        </is>
      </c>
      <c r="B92" s="66" t="inlineStr">
        <is>
          <t xml:space="preserve">Members need a hide/show explicit 18+ content preference; default hidden is recommended.</t>
        </is>
      </c>
    </row>
    <row r="93" ht="28.5" customHeight="1">
      <c r="A93" s="65" t="inlineStr">
        <is>
          <t xml:space="preserve">•</t>
        </is>
      </c>
      <c r="B93" s="66" t="inlineStr">
        <is>
          <t xml:space="preserve">Store target: four noticeable medium YouTube-like thumbnails on common large desktops; scale column count with screen width.</t>
        </is>
      </c>
    </row>
    <row r="94" ht="28.5" customHeight="1">
      <c r="A94" s="65" t="inlineStr">
        <is>
          <t xml:space="preserve">•</t>
        </is>
      </c>
      <c r="B94" s="66" t="inlineStr">
        <is>
          <t xml:space="preserve">Oasis targets daily retention with collectible backgrounds, skins, frames, badges, and related cosmetics.</t>
        </is>
      </c>
    </row>
    <row r="95" ht="28.5" customHeight="1">
      <c r="A95" s="65" t="inlineStr">
        <is>
          <t xml:space="preserve">•</t>
        </is>
      </c>
      <c r="B95" s="66" t="inlineStr">
        <is>
          <t xml:space="preserve">Preserve the current uncommitted frontend work during restructuring.</t>
        </is>
      </c>
    </row>
    <row r="96" ht="28.5" customHeight="1">
      <c r="A96" s="65" t="inlineStr">
        <is>
          <t xml:space="preserve">•</t>
        </is>
      </c>
      <c r="B96" s="66" t="inlineStr">
        <is>
          <t xml:space="preserve">Start with known creators under controlled onboarding while preparing public member registration.</t>
        </is>
      </c>
    </row>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1:B1"/>
    <mergeCell ref="A17:B17"/>
    <mergeCell ref="A43:B43"/>
    <mergeCell ref="A66:B66"/>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8.0"/>
    <col customWidth="1" min="2" max="2" width="16.0"/>
    <col customWidth="1" min="3" max="3" width="12.0"/>
    <col customWidth="1" min="4" max="4" width="16.0"/>
    <col customWidth="1" min="5" max="6" width="14.0"/>
    <col customWidth="1" min="7" max="7" width="16.0"/>
    <col customWidth="1" min="8" max="8" width="54.0"/>
    <col customWidth="1" min="9" max="26" width="8.71"/>
  </cols>
  <sheetData>
    <row r="1" ht="39.75" customHeight="1">
      <c r="A1" s="1" t="s">
        <v>553</v>
      </c>
      <c r="B1" s="2"/>
      <c r="C1" s="2"/>
      <c r="D1" s="2"/>
      <c r="E1" s="2"/>
      <c r="F1" s="2"/>
      <c r="G1" s="2"/>
      <c r="H1" s="3"/>
    </row>
    <row r="2">
      <c r="A2" s="13" t="s">
        <v>554</v>
      </c>
      <c r="B2" s="2"/>
      <c r="C2" s="2"/>
      <c r="D2" s="2"/>
      <c r="E2" s="2"/>
      <c r="F2" s="2"/>
      <c r="G2" s="2"/>
      <c r="H2" s="3"/>
    </row>
    <row r="3" ht="25.5" customHeight="1">
      <c r="A3" s="68" t="s">
        <v>555</v>
      </c>
      <c r="B3" s="68" t="s">
        <v>415</v>
      </c>
      <c r="C3" s="68" t="s">
        <v>556</v>
      </c>
      <c r="D3" s="68" t="s">
        <v>557</v>
      </c>
      <c r="E3" s="68" t="s">
        <v>558</v>
      </c>
      <c r="F3" s="68" t="s">
        <v>559</v>
      </c>
      <c r="G3" s="68" t="s">
        <v>25</v>
      </c>
      <c r="H3" s="68" t="s">
        <v>26</v>
      </c>
    </row>
    <row r="4" ht="25.5" customHeight="1">
      <c r="A4" s="15" t="s">
        <v>560</v>
      </c>
      <c r="B4" s="2"/>
      <c r="C4" s="2"/>
      <c r="D4" s="2"/>
      <c r="E4" s="2"/>
      <c r="F4" s="2"/>
      <c r="G4" s="2"/>
      <c r="H4" s="3"/>
    </row>
    <row r="5">
      <c r="A5" s="16" t="s">
        <v>561</v>
      </c>
      <c r="B5" s="17" t="s">
        <v>562</v>
      </c>
      <c r="C5" s="17" t="s">
        <v>563</v>
      </c>
      <c r="D5" s="17">
        <v>500.0</v>
      </c>
      <c r="E5" s="17"/>
      <c r="F5" s="17" t="s">
        <v>564</v>
      </c>
      <c r="G5" s="24" t="s">
        <v>565</v>
      </c>
      <c r="H5" s="17" t="s">
        <v>566</v>
      </c>
    </row>
    <row r="6">
      <c r="A6" s="20" t="s">
        <v>567</v>
      </c>
      <c r="B6" s="21" t="s">
        <v>562</v>
      </c>
      <c r="C6" s="21" t="s">
        <v>563</v>
      </c>
      <c r="D6" s="21">
        <v>500.0</v>
      </c>
      <c r="E6" s="21"/>
      <c r="F6" s="21" t="s">
        <v>564</v>
      </c>
      <c r="G6" s="24" t="s">
        <v>565</v>
      </c>
      <c r="H6" s="21" t="s">
        <v>568</v>
      </c>
    </row>
    <row r="7">
      <c r="A7" s="16" t="s">
        <v>569</v>
      </c>
      <c r="B7" s="17" t="s">
        <v>562</v>
      </c>
      <c r="C7" s="17" t="s">
        <v>563</v>
      </c>
      <c r="D7" s="17">
        <v>0.0</v>
      </c>
      <c r="E7" s="17"/>
      <c r="F7" s="17" t="s">
        <v>564</v>
      </c>
      <c r="G7" s="24" t="s">
        <v>565</v>
      </c>
      <c r="H7" s="17" t="s">
        <v>570</v>
      </c>
    </row>
    <row r="8">
      <c r="A8" s="20" t="s">
        <v>571</v>
      </c>
      <c r="B8" s="21" t="s">
        <v>572</v>
      </c>
      <c r="C8" s="21" t="s">
        <v>563</v>
      </c>
      <c r="D8" s="21">
        <v>350.0</v>
      </c>
      <c r="E8" s="21"/>
      <c r="F8" s="21" t="s">
        <v>564</v>
      </c>
      <c r="G8" s="24" t="s">
        <v>565</v>
      </c>
      <c r="H8" s="21" t="s">
        <v>573</v>
      </c>
    </row>
    <row r="9">
      <c r="A9" s="16" t="s">
        <v>574</v>
      </c>
      <c r="B9" s="17" t="s">
        <v>572</v>
      </c>
      <c r="C9" s="17" t="s">
        <v>563</v>
      </c>
      <c r="D9" s="17">
        <v>350.0</v>
      </c>
      <c r="E9" s="17"/>
      <c r="F9" s="17" t="s">
        <v>564</v>
      </c>
      <c r="G9" s="24" t="s">
        <v>565</v>
      </c>
      <c r="H9" s="17" t="s">
        <v>575</v>
      </c>
    </row>
    <row r="10">
      <c r="A10" s="41" t="inlineStr">
        <is>
          <t xml:space="preserve">LLC Formation (state TBD)</t>
        </is>
      </c>
      <c r="B10" s="21" t="s">
        <v>572</v>
      </c>
      <c r="C10" s="21" t="s">
        <v>563</v>
      </c>
      <c r="D10" s="21">
        <v>155.0</v>
      </c>
      <c r="E10" s="21"/>
      <c r="F10" s="21" t="s">
        <v>564</v>
      </c>
      <c r="G10" s="24" t="s">
        <v>565</v>
      </c>
      <c r="H10" s="43" t="inlineStr">
        <is>
          <t xml:space="preserve">Wyoming is a candidate for privacy/tax evaluation. Confirm state, registered agent, foreign qualification, and total cost with an attorney and CPA before filing.</t>
        </is>
      </c>
    </row>
    <row r="11">
      <c r="A11" s="25" t="s">
        <v>578</v>
      </c>
      <c r="B11" s="21" t="s">
        <v>572</v>
      </c>
      <c r="C11" s="21" t="s">
        <v>563</v>
      </c>
      <c r="D11" s="26">
        <v>125.0</v>
      </c>
      <c r="E11" s="21"/>
      <c r="F11" s="21" t="s">
        <v>564</v>
      </c>
      <c r="G11" s="24" t="s">
        <v>565</v>
      </c>
      <c r="H11" s="26" t="s">
        <v>579</v>
      </c>
    </row>
    <row r="12">
      <c r="A12" s="16" t="s">
        <v>580</v>
      </c>
      <c r="B12" s="17" t="s">
        <v>572</v>
      </c>
      <c r="C12" s="17" t="s">
        <v>581</v>
      </c>
      <c r="D12" s="17">
        <v>125.0</v>
      </c>
      <c r="E12" s="17"/>
      <c r="F12" s="17" t="s">
        <v>582</v>
      </c>
      <c r="G12" s="24" t="s">
        <v>565</v>
      </c>
      <c r="H12" s="17" t="s">
        <v>583</v>
      </c>
    </row>
    <row r="13">
      <c r="A13" s="20" t="s">
        <v>584</v>
      </c>
      <c r="B13" s="21" t="s">
        <v>585</v>
      </c>
      <c r="C13" s="21" t="s">
        <v>581</v>
      </c>
      <c r="D13" s="21">
        <v>15.0</v>
      </c>
      <c r="E13" s="21"/>
      <c r="F13" s="21" t="s">
        <v>582</v>
      </c>
      <c r="G13" s="24" t="s">
        <v>565</v>
      </c>
      <c r="H13" s="21" t="s">
        <v>586</v>
      </c>
    </row>
    <row r="14" ht="16.5" customHeight="1">
      <c r="A14" s="16" t="s">
        <v>587</v>
      </c>
      <c r="B14" s="17" t="s">
        <v>585</v>
      </c>
      <c r="C14" s="17" t="s">
        <v>581</v>
      </c>
      <c r="D14" s="17">
        <v>30.0</v>
      </c>
      <c r="E14" s="17"/>
      <c r="F14" s="17" t="s">
        <v>582</v>
      </c>
      <c r="G14" s="24" t="s">
        <v>565</v>
      </c>
      <c r="H14" s="17" t="s">
        <v>588</v>
      </c>
    </row>
    <row r="15">
      <c r="A15" s="15" t="s">
        <v>589</v>
      </c>
      <c r="B15" s="2"/>
      <c r="C15" s="2"/>
      <c r="D15" s="2"/>
      <c r="E15" s="2"/>
      <c r="F15" s="2"/>
      <c r="G15" s="2"/>
      <c r="H15" s="3"/>
    </row>
    <row r="16">
      <c r="A16" s="32" t="s">
        <v>590</v>
      </c>
      <c r="B16" s="33" t="s">
        <v>585</v>
      </c>
      <c r="C16" s="33" t="s">
        <v>591</v>
      </c>
      <c r="D16" s="33">
        <v>18.0</v>
      </c>
      <c r="E16" s="33"/>
      <c r="F16" s="33" t="s">
        <v>591</v>
      </c>
      <c r="G16" s="39" t="s">
        <v>565</v>
      </c>
      <c r="H16" s="33" t="s">
        <v>592</v>
      </c>
    </row>
    <row r="17">
      <c r="A17" s="20" t="s">
        <v>593</v>
      </c>
      <c r="B17" s="21" t="s">
        <v>585</v>
      </c>
      <c r="C17" s="21" t="s">
        <v>591</v>
      </c>
      <c r="D17" s="21">
        <v>0.0</v>
      </c>
      <c r="E17" s="21"/>
      <c r="F17" s="21" t="s">
        <v>591</v>
      </c>
      <c r="G17" s="24" t="s">
        <v>565</v>
      </c>
      <c r="H17" s="21" t="s">
        <v>594</v>
      </c>
    </row>
    <row r="18">
      <c r="A18" s="16" t="s">
        <v>595</v>
      </c>
      <c r="B18" s="17" t="s">
        <v>585</v>
      </c>
      <c r="C18" s="17" t="s">
        <v>591</v>
      </c>
      <c r="D18" s="17">
        <v>0.0</v>
      </c>
      <c r="E18" s="17"/>
      <c r="F18" s="17" t="s">
        <v>591</v>
      </c>
      <c r="G18" s="24" t="s">
        <v>565</v>
      </c>
      <c r="H18" s="17" t="s">
        <v>596</v>
      </c>
    </row>
    <row r="19">
      <c r="A19" s="20" t="s">
        <v>597</v>
      </c>
      <c r="B19" s="21" t="s">
        <v>585</v>
      </c>
      <c r="C19" s="21" t="s">
        <v>591</v>
      </c>
      <c r="D19" s="21">
        <v>0.0</v>
      </c>
      <c r="E19" s="21"/>
      <c r="F19" s="21" t="s">
        <v>591</v>
      </c>
      <c r="G19" s="24" t="s">
        <v>565</v>
      </c>
      <c r="H19" s="21" t="s">
        <v>598</v>
      </c>
    </row>
    <row r="20">
      <c r="A20" s="16" t="s">
        <v>599</v>
      </c>
      <c r="B20" s="17" t="s">
        <v>585</v>
      </c>
      <c r="C20" s="17" t="s">
        <v>591</v>
      </c>
      <c r="D20" s="17">
        <v>0.0</v>
      </c>
      <c r="E20" s="17"/>
      <c r="F20" s="17" t="s">
        <v>591</v>
      </c>
      <c r="G20" s="24" t="s">
        <v>565</v>
      </c>
      <c r="H20" s="17" t="s">
        <v>600</v>
      </c>
    </row>
    <row r="21" ht="15.75" customHeight="1">
      <c r="A21" s="20" t="s">
        <v>601</v>
      </c>
      <c r="B21" s="21" t="s">
        <v>585</v>
      </c>
      <c r="C21" s="21" t="s">
        <v>591</v>
      </c>
      <c r="D21" s="21">
        <v>0.0</v>
      </c>
      <c r="E21" s="21"/>
      <c r="F21" s="21" t="s">
        <v>591</v>
      </c>
      <c r="G21" s="24" t="s">
        <v>565</v>
      </c>
      <c r="H21" s="21" t="s">
        <v>602</v>
      </c>
    </row>
    <row r="22" ht="25.5" customHeight="1">
      <c r="A22" s="36" t="s">
        <v>603</v>
      </c>
      <c r="B22" s="37" t="s">
        <v>585</v>
      </c>
      <c r="C22" s="37" t="s">
        <v>591</v>
      </c>
      <c r="D22" s="37">
        <v>0.0</v>
      </c>
      <c r="E22" s="37"/>
      <c r="F22" s="37" t="s">
        <v>591</v>
      </c>
      <c r="G22" s="30" t="s">
        <v>565</v>
      </c>
      <c r="H22" s="37" t="s">
        <v>604</v>
      </c>
    </row>
    <row r="23" ht="15.75" customHeight="1">
      <c r="A23" s="15" t="s">
        <v>605</v>
      </c>
      <c r="B23" s="2"/>
      <c r="C23" s="2"/>
      <c r="D23" s="2"/>
      <c r="E23" s="2"/>
      <c r="F23" s="2"/>
      <c r="G23" s="2"/>
      <c r="H23" s="3"/>
    </row>
    <row r="24" ht="15.75" customHeight="1">
      <c r="A24" s="32" t="s">
        <v>606</v>
      </c>
      <c r="B24" s="33" t="s">
        <v>562</v>
      </c>
      <c r="C24" s="33" t="s">
        <v>607</v>
      </c>
      <c r="D24" s="33">
        <v>0.0</v>
      </c>
      <c r="E24" s="33"/>
      <c r="F24" s="33" t="s">
        <v>608</v>
      </c>
      <c r="G24" s="39" t="s">
        <v>609</v>
      </c>
      <c r="H24" s="33" t="s">
        <v>610</v>
      </c>
    </row>
    <row r="25" ht="15.75" customHeight="1">
      <c r="A25" s="20" t="s">
        <v>611</v>
      </c>
      <c r="B25" s="21" t="s">
        <v>562</v>
      </c>
      <c r="C25" s="21" t="s">
        <v>607</v>
      </c>
      <c r="D25" s="21">
        <v>0.0</v>
      </c>
      <c r="E25" s="21"/>
      <c r="F25" s="21" t="s">
        <v>608</v>
      </c>
      <c r="G25" s="24" t="s">
        <v>609</v>
      </c>
      <c r="H25" s="21" t="s">
        <v>612</v>
      </c>
    </row>
    <row r="26" ht="25.5" customHeight="1">
      <c r="A26" s="36" t="s">
        <v>613</v>
      </c>
      <c r="B26" s="37" t="s">
        <v>562</v>
      </c>
      <c r="C26" s="37" t="s">
        <v>607</v>
      </c>
      <c r="D26" s="37">
        <v>0.0</v>
      </c>
      <c r="E26" s="37"/>
      <c r="F26" s="37" t="s">
        <v>614</v>
      </c>
      <c r="G26" s="30" t="s">
        <v>609</v>
      </c>
      <c r="H26" s="37" t="s">
        <v>615</v>
      </c>
    </row>
    <row r="27" ht="15.75" customHeight="1">
      <c r="A27" s="15" t="s">
        <v>616</v>
      </c>
      <c r="B27" s="2"/>
      <c r="C27" s="2"/>
      <c r="D27" s="2"/>
      <c r="E27" s="2"/>
      <c r="F27" s="2"/>
      <c r="G27" s="2"/>
      <c r="H27" s="3"/>
    </row>
    <row r="28" ht="15.75" customHeight="1">
      <c r="A28" s="32" t="s">
        <v>617</v>
      </c>
      <c r="B28" s="33" t="s">
        <v>562</v>
      </c>
      <c r="C28" s="33" t="s">
        <v>591</v>
      </c>
      <c r="D28" s="33">
        <v>0.0</v>
      </c>
      <c r="E28" s="33"/>
      <c r="F28" s="33" t="s">
        <v>591</v>
      </c>
      <c r="G28" s="39" t="s">
        <v>618</v>
      </c>
      <c r="H28" s="33" t="s">
        <v>619</v>
      </c>
    </row>
    <row r="29" ht="15.75" customHeight="1">
      <c r="A29" s="20" t="s">
        <v>620</v>
      </c>
      <c r="B29" s="21" t="s">
        <v>621</v>
      </c>
      <c r="C29" s="21" t="s">
        <v>591</v>
      </c>
      <c r="D29" s="21">
        <v>0.0</v>
      </c>
      <c r="E29" s="21"/>
      <c r="F29" s="21" t="s">
        <v>591</v>
      </c>
      <c r="G29" s="24" t="s">
        <v>618</v>
      </c>
      <c r="H29" s="21" t="s">
        <v>622</v>
      </c>
    </row>
    <row r="30" ht="15.75" customHeight="1">
      <c r="A30" s="16" t="s">
        <v>623</v>
      </c>
      <c r="B30" s="17" t="s">
        <v>572</v>
      </c>
      <c r="C30" s="17" t="s">
        <v>591</v>
      </c>
      <c r="D30" s="17">
        <v>0.0</v>
      </c>
      <c r="E30" s="17"/>
      <c r="F30" s="17" t="s">
        <v>591</v>
      </c>
      <c r="G30" s="24" t="s">
        <v>618</v>
      </c>
      <c r="H30" s="17" t="s">
        <v>624</v>
      </c>
    </row>
    <row r="31" ht="25.5" customHeight="1"/>
    <row r="32" ht="15.75" customHeight="1">
      <c r="A32" s="15" t="s">
        <v>625</v>
      </c>
      <c r="B32" s="2"/>
      <c r="C32" s="2"/>
      <c r="D32" s="2"/>
      <c r="E32" s="2"/>
      <c r="F32" s="2"/>
      <c r="G32" s="2"/>
      <c r="H32" s="3"/>
    </row>
    <row r="33" ht="15.75" customHeight="1">
      <c r="A33" s="6" t="s">
        <v>626</v>
      </c>
      <c r="B33" s="69">
        <f>SUM(D5:D11)</f>
        <v>1980</v>
      </c>
    </row>
    <row r="34" ht="15.75" customHeight="1">
      <c r="A34" s="7" t="s">
        <v>627</v>
      </c>
      <c r="B34" s="70">
        <v>170.0</v>
      </c>
    </row>
    <row r="35" ht="15.75" customHeight="1">
      <c r="A35" s="6" t="s">
        <v>628</v>
      </c>
      <c r="B35" s="69">
        <v>18.0</v>
      </c>
    </row>
    <row r="36" ht="15.75" customHeight="1">
      <c r="A36" s="7" t="s">
        <v>629</v>
      </c>
      <c r="B36" s="70">
        <v>1713.0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H1"/>
    <mergeCell ref="A2:H2"/>
    <mergeCell ref="A4:H4"/>
    <mergeCell ref="A15:H15"/>
    <mergeCell ref="A23:H23"/>
    <mergeCell ref="A27:H27"/>
    <mergeCell ref="A32:H32"/>
  </mergeCells>
  <printOptions/>
  <pageMargins bottom="1.0" footer="0.0" header="0.0" left="0.75" right="0.75" top="1.0"/>
  <pageSetup paperSize="9" orientation="portrait"/>
  <drawing r:id="rId1"/>
</worksheet>
</file>