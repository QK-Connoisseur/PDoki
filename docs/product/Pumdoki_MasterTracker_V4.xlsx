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85df4e9ae840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85fc3fbe2e74df0"/>
    <x:sheet xmlns:r="http://schemas.openxmlformats.org/officeDocument/2006/relationships" name="Master Tracker" sheetId="2" r:id="R28f114d80f1348fc"/>
    <x:sheet xmlns:r="http://schemas.openxmlformats.org/officeDocument/2006/relationships" name="Backlog" sheetId="3" r:id="R7a2e21f361534518"/>
    <x:sheet xmlns:r="http://schemas.openxmlformats.org/officeDocument/2006/relationships" name="Notes &amp; Assumptions" sheetId="4" r:id="Re271bb41e4214da8"/>
    <x:sheet xmlns:r="http://schemas.openxmlformats.org/officeDocument/2006/relationships" name="💸 Expense Tracker" sheetId="5" r:id="R0e7115ce53bf44d6"/>
    <x:sheet xmlns:r="http://schemas.openxmlformats.org/officeDocument/2006/relationships" name="Legacy Overview 2026-08-16" sheetId="6" r:id="R999a5dfe37e24557"/>
    <x:sheet xmlns:r="http://schemas.openxmlformats.org/officeDocument/2006/relationships" name="Controls" sheetId="7" r:id="Rd3e1530812054b35"/>
    <x:sheet xmlns:r="http://schemas.openxmlformats.org/officeDocument/2006/relationships" name="Phase Roadmap" sheetId="8" r:id="R61e5aa682ecb4019"/>
    <x:sheet xmlns:r="http://schemas.openxmlformats.org/officeDocument/2006/relationships" name="Delivery Tracker" sheetId="9" r:id="Re238eabfe7084ebe"/>
    <x:sheet xmlns:r="http://schemas.openxmlformats.org/officeDocument/2006/relationships" name="Review &amp; Blocker Queue" sheetId="10" r:id="Re9c8b707730a45d8"/>
    <x:sheet xmlns:r="http://schemas.openxmlformats.org/officeDocument/2006/relationships" name="Daily Log" sheetId="11" r:id="Refb2f3deb3b540d7"/>
    <x:sheet xmlns:r="http://schemas.openxmlformats.org/officeDocument/2006/relationships" name="Decision Register" sheetId="12" r:id="R64af974bd2184856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<x:sst xmlns:x="http://schemas.openxmlformats.org/spreadsheetml/2006/main">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</x:sst>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3">
    <x:numFmt numFmtId="164" formatCode="0.0%"/>
    <x:numFmt numFmtId="165" formatCode="\$#,##0"/>
    <x:numFmt numFmtId="200" formatCode="yyyy-mm-dd"/>
  </x:numFmts>
  <x:fonts count="25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</x:fonts>
  <x:fills count="14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164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</x:cellXfs>
  <x:cellStyles count="1">
    <x:cellStyle name="Normal" xfId="0"/>
  </x:cellStyles>
  <x:dxfs count="34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1e26258a5b4d8c" /><Relationship Type="http://schemas.openxmlformats.org/officeDocument/2006/relationships/theme" Target="/xl/theme/theme1.xml" Id="Ref07e6e27cc74be5" /><Relationship Type="http://schemas.openxmlformats.org/officeDocument/2006/relationships/sharedStrings" Target="/xl/sharedStrings.xml" Id="R41eb60e7ddb844f5" /><Relationship Type="http://schemas.openxmlformats.org/officeDocument/2006/relationships/worksheet" Target="/xl/worksheets/sheet1.xml" Id="Rc85fc3fbe2e74df0" /><Relationship Type="http://schemas.openxmlformats.org/officeDocument/2006/relationships/worksheet" Target="/xl/worksheets/sheet2.xml" Id="R28f114d80f1348fc" /><Relationship Type="http://schemas.openxmlformats.org/officeDocument/2006/relationships/worksheet" Target="/xl/worksheets/sheet3.xml" Id="R7a2e21f361534518" /><Relationship Type="http://schemas.openxmlformats.org/officeDocument/2006/relationships/worksheet" Target="/xl/worksheets/sheet4.xml" Id="Re271bb41e4214da8" /><Relationship Type="http://schemas.openxmlformats.org/officeDocument/2006/relationships/worksheet" Target="/xl/worksheets/sheet5.xml" Id="R0e7115ce53bf44d6" /><Relationship Type="http://schemas.openxmlformats.org/officeDocument/2006/relationships/worksheet" Target="/xl/worksheets/sheet6.xml" Id="R999a5dfe37e24557" /><Relationship Type="http://schemas.openxmlformats.org/officeDocument/2006/relationships/worksheet" Target="/xl/worksheets/sheet7.xml" Id="Rd3e1530812054b35" /><Relationship Type="http://schemas.openxmlformats.org/officeDocument/2006/relationships/worksheet" Target="/xl/worksheets/sheet8.xml" Id="R61e5aa682ecb4019" /><Relationship Type="http://schemas.openxmlformats.org/officeDocument/2006/relationships/worksheet" Target="/xl/worksheets/sheet9.xml" Id="Re238eabfe7084ebe" /><Relationship Type="http://schemas.openxmlformats.org/officeDocument/2006/relationships/worksheet" Target="/xl/worksheets/sheet10.xml" Id="Re9c8b707730a45d8" /><Relationship Type="http://schemas.openxmlformats.org/officeDocument/2006/relationships/worksheet" Target="/xl/worksheets/sheet11.xml" Id="Refb2f3deb3b540d7" /><Relationship Type="http://schemas.openxmlformats.org/officeDocument/2006/relationships/worksheet" Target="/xl/worksheets/sheet12.xml" Id="R64af974bd2184856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1" headerRowCount="1" totalsRowCount="0" totalsRowShown="0">
  <x:autoFilter ref="A3:S161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viewQueueTable" displayName="ReviewQueueTable" ref="A3:L9" headerRowCount="1" totalsRowCount="0" totalsRowShown="0">
  <x:autoFilter ref="A3:L9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18" headerRowCount="1" totalsRowCount="0" totalsRowShown="0">
  <x:autoFilter ref="A3:J18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376c4f1564a14d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bdf806c34dff43b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31b72b6e3a22405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18a5b4d9a854474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db048690bc2e41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PLAN.md-aligned view · refreshed August 21, 2026 · record counts are navigation metrics, not phase completion or production-readiness claims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P02 — Backend and database foundation</x:v>
      </x:c>
      <x:c r="D5"/>
      <x:c r="E5"/>
      <x:c r="I5" s="130" t="str">
        <x:v>Review the updated PR #13 workbook and fresh exact-head CI. A later merge decision remains separate. The next Phase 4 decision is whether to authorize a private-operations identity/access design—not creator approval activation.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Draft PR #13 durable PostgreSQL worker foundation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In Review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Fixed non-secret canary only; no product flow or deployment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https://github.com/QK-Connoisseur/PDoki/pull/13</x:v>
      </x:c>
      <x:c r="I9" s="131" t="str">
        <x:v>Phase 4 remains partial: creator application and dormant non-approval foundations are published; operational identity, legal, provider, approval, and publishing gates remain open.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158</x:v>
      </x:c>
      <x:c r="B13" s="151"/>
      <x:c r="C13" s="150" t="n">
        <x:f>COUNTIF('Delivery Tracker'!$H$4:$H$400,"Done")</x:f>
        <x:v>22</x:v>
      </x:c>
      <x:c r="D13" s="151"/>
      <x:c r="E13" s="150" t="n">
        <x:f>COUNTIF('Delivery Tracker'!$H$4:$H$400,"In Progress")</x:f>
        <x:v>50</x:v>
      </x:c>
      <x:c r="F13" s="151"/>
      <x:c r="G13" s="150" t="n">
        <x:f>COUNTIF('Delivery Tracker'!$H$4:$H$400,"In Review")</x:f>
        <x:v>5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80</x:v>
      </x:c>
      <x:c r="L13" s="151"/>
      <x:c r="M13" s="158" t="n">
        <x:f>IF(A13=0,0,C13/A13)</x:f>
        <x:v>0.13924050632911392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4</x:v>
      </x:c>
      <x:c r="F18" s="109" t="n">
        <x:f>'Phase Roadmap'!F4</x:f>
        <x:v>6</x:v>
      </x:c>
      <x:c r="G18" s="118" t="n">
        <x:f>'Phase Roadmap'!G4</x:f>
        <x:v>0.6666666666666666</x:v>
      </x:c>
      <x:c r="H18" s="109" t="n">
        <x:f>'Phase Roadmap'!H4</x:f>
        <x:v>0</x:v>
      </x:c>
      <x:c r="I18" s="109" t="n">
        <x:f>'Phase Roadmap'!I4</x:f>
        <x:v>1</x:v>
      </x:c>
      <x:c r="J18" s="109" t="n">
        <x:f>'Phase Roadmap'!J4</x:f>
        <x:v>0</x:v>
      </x:c>
      <x:c r="K18" s="109" t="n">
        <x:f>'Phase Roadmap'!K4</x:f>
        <x:v>1</x:v>
      </x:c>
      <x:c r="L18" s="109" t="str">
        <x:f>'Phase Roadmap'!L4</x:f>
        <x:v>Align the execution tracker with PLAN.md and keep decisions/evidence current.</x:v>
      </x:c>
      <x:c r="M18" s="109" t="str">
        <x:f>'Phase Roadmap'!M4</x:f>
        <x:v>Publish the tracker reconciliation in PR #13, then keep owners and dates current.</x:v>
      </x:c>
      <x:c r="N18" s="109" t="str">
        <x:f>'Phase Roadmap'!O4</x:f>
        <x:v>https://github.com/QK-Connoisseur/PDoki/blob/dev/PLAN.md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1</x:v>
      </x:c>
      <x:c r="F20" s="111" t="n">
        <x:f>'Phase Roadmap'!F6</x:f>
        <x:v>16</x:v>
      </x:c>
      <x:c r="G20" s="119" t="n">
        <x:f>'Phase Roadmap'!G6</x:f>
        <x:v>0.0625</x:v>
      </x:c>
      <x:c r="H20" s="111" t="n">
        <x:f>'Phase Roadmap'!H6</x:f>
        <x:v>7</x:v>
      </x:c>
      <x:c r="I20" s="111" t="n">
        <x:f>'Phase Roadmap'!I6</x:f>
        <x:v>3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Review draft PR #13: application-owned PostgreSQL worker foundation and fixed canary only.</x:v>
      </x:c>
      <x:c r="M20" s="111" t="str">
        <x:f>'Phase Roadmap'!M6</x:f>
        <x:v>Fresh exact-head CI and founder review; merge remains separately gated.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2</x:v>
      </x:c>
      <x:c r="F22" s="111" t="n">
        <x:f>'Phase Roadmap'!F8</x:f>
        <x:v>32</x:v>
      </x:c>
      <x:c r="G22" s="119" t="n">
        <x:f>'Phase Roadmap'!G8</x:f>
        <x:v>0.0625</x:v>
      </x:c>
      <x:c r="H22" s="111" t="n">
        <x:f>'Phase Roadmap'!H8</x:f>
        <x:v>15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15</x:v>
      </x:c>
      <x:c r="L22" s="111" t="str">
        <x:f>'Phase Roadmap'!L8</x:f>
        <x:v>Creator application and dormant non-approval review foundations are published; activation remains blocked.</x:v>
      </x:c>
      <x:c r="M22" s="111" t="str">
        <x:f>'Phase Roadmap'!M8</x:f>
        <x:v>Design and locally verify the private operator identity/access boundary; do not activate APPROVED.</x:v>
      </x:c>
      <x:c r="N22" s="111" t="str">
        <x:f>'Phase Roadmap'!O8</x:f>
        <x:v>https://github.com/QK-Connoisseur/PDoki/pull/1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Approve the content/media domain and protected upload lifecycle after Phase 4 gates.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Complete prerequisite Phase 4–6 controls before implementing the full member-to-creator flow.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Strong prototypes exist; real data, persistence, entitlement, and booking/purchase flows remain open.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Chat UI and auth email infrastructure exist; WebSockets and persisted platform notifications remain open.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Private shell and dormant review seam exist; production identity, hosting, permissions, and UI do not.</x:v>
      </x:c>
      <x:c r="M29" s="111" t="str">
        <x:f>'Phase Roadmap'!M15</x:f>
        <x:v>Approve an isolated private-operations identity/access design and local/staging verification slice.</x:v>
      </x:c>
      <x:c r="N29" s="111" t="str">
        <x:f>'Phase Roadmap'!O15</x:f>
        <x:v>https://github.com/QK-Connoisseur/PDoki/blob/dev/docs/operations/README.md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Oasis/Drimy launch implementation</x:v>
      </x:c>
      <x:c r="C30" s="111" t="str">
        <x:f>'Phase Roadmap'!C16</x:f>
        <x:v>Partially Complete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1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1</x:v>
      </x:c>
      <x:c r="L30" s="111" t="str">
        <x:f>'Phase Roadmap'!L16</x:f>
        <x:v>Client-only prototype exists; server-authoritative state, ledgers, cooldowns, and inventory are absent.</x:v>
      </x:c>
      <x:c r="M30" s="111" t="str">
        <x:f>'Phase Roadmap'!M16</x:f>
        <x:v>Define server domains and reward rules after ledger/idempotency foundations.</x:v>
      </x:c>
      <x:c r="N30" s="111" t="str">
        <x:f>'Phase Roadmap'!O16</x:f>
        <x:v>https://github.com/QK-Connoisseur/PDoki/blob/dev/PLAN.md#16-phase-12--oasisdrimy-launch-implementation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0</x:v>
      </x:c>
      <x:c r="F32" s="111" t="n">
        <x:f>'Phase Roadmap'!F18</x:f>
        <x:v>22</x:v>
      </x:c>
      <x:c r="G32" s="119" t="n">
        <x:f>'Phase Roadmap'!G18</x:f>
        <x:v>0</x:v>
      </x:c>
      <x:c r="H32" s="111" t="n">
        <x:f>'Phase Roadmap'!H18</x:f>
        <x:v>3</x:v>
      </x:c>
      <x:c r="I32" s="111" t="n">
        <x:f>'Phase Roadmap'!I18</x:f>
        <x:v>1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exist;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Start with Review &amp; Blocker Queue for immediate attention.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in review and Phase 2 remains partial.</x:v>
      </x:c>
      <x:c r="G36" s="111" t="str">
        <x:v>Phase 4</x:v>
      </x:c>
      <x:c r="H36" s="111" t="str">
        <x:v>Foundation published; operational/legal/identity gates remain open.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total is flagged in Decision Register and preserved unchanged.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Current branch</x:v>
      </x:c>
      <x:c r="F38" s="111" t="str">
        <x:v>codex/phase2-worker-foundation</x:v>
      </x:c>
      <x:c r="G38" s="111" t="str">
        <x:v>Open PR</x:v>
      </x:c>
      <x:c r="H38" s="111" t="str">
        <x:v>https://github.com/QK-Connoisseur/PDoki/pull/13</x:v>
      </x:c>
      <x:c r="I38" s="111" t="str">
        <x:v>Merge</x:v>
      </x:c>
      <x:c r="J38" s="111" t="str">
        <x:v>Separately gated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Historical/current boundary: rows 1–96 preserve the August 16 baseline;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Draft PR #13 is Phase 2 only and remains In Review. It adds a fixed canary worker foundation, not a product-flow migration or deployment.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published; private operations identity/access, legal, provider, approval, role-promotion, and publishing gates remain open.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2026-08-21 by Codex during the authorized tracker rework for draft PR #13.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461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462</x:v>
      </x:c>
      <x:c r="B3" s="68" t="s">
        <x:v>355</x:v>
      </x:c>
      <x:c r="C3" s="68" t="s">
        <x:v>463</x:v>
      </x:c>
      <x:c r="D3" s="68" t="s">
        <x:v>464</x:v>
      </x:c>
      <x:c r="E3" s="68" t="s">
        <x:v>465</x:v>
      </x:c>
      <x:c r="F3" s="68" t="s">
        <x:v>466</x:v>
      </x:c>
      <x:c r="G3" s="68" t="s">
        <x:v>4</x:v>
      </x:c>
      <x:c r="H3" s="68" t="s">
        <x:v>5</x:v>
      </x:c>
    </x:row>
    <x:row r="4" ht="25.5" customHeight="1">
      <x:c r="A4" s="15" t="s">
        <x:v>467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468</x:v>
      </x:c>
      <x:c r="B5" s="17" t="s">
        <x:v>469</x:v>
      </x:c>
      <x:c r="C5" s="17" t="s">
        <x:v>470</x:v>
      </x:c>
      <x:c r="D5" s="17">
        <x:v>500.0</x:v>
      </x:c>
      <x:c r="E5" s="17"/>
      <x:c r="F5" s="17" t="s">
        <x:v>471</x:v>
      </x:c>
      <x:c r="G5" s="24" t="s">
        <x:v>472</x:v>
      </x:c>
      <x:c r="H5" s="17" t="s">
        <x:v>473</x:v>
      </x:c>
    </x:row>
    <x:row r="6">
      <x:c r="A6" s="20" t="s">
        <x:v>474</x:v>
      </x:c>
      <x:c r="B6" s="21" t="s">
        <x:v>469</x:v>
      </x:c>
      <x:c r="C6" s="21" t="s">
        <x:v>470</x:v>
      </x:c>
      <x:c r="D6" s="21">
        <x:v>500.0</x:v>
      </x:c>
      <x:c r="E6" s="21"/>
      <x:c r="F6" s="21" t="s">
        <x:v>471</x:v>
      </x:c>
      <x:c r="G6" s="24" t="s">
        <x:v>472</x:v>
      </x:c>
      <x:c r="H6" s="21" t="s">
        <x:v>475</x:v>
      </x:c>
    </x:row>
    <x:row r="7">
      <x:c r="A7" s="16" t="s">
        <x:v>476</x:v>
      </x:c>
      <x:c r="B7" s="17" t="s">
        <x:v>469</x:v>
      </x:c>
      <x:c r="C7" s="17" t="s">
        <x:v>470</x:v>
      </x:c>
      <x:c r="D7" s="17">
        <x:v>0.0</x:v>
      </x:c>
      <x:c r="E7" s="17"/>
      <x:c r="F7" s="17" t="s">
        <x:v>471</x:v>
      </x:c>
      <x:c r="G7" s="24" t="s">
        <x:v>472</x:v>
      </x:c>
      <x:c r="H7" s="17" t="s">
        <x:v>477</x:v>
      </x:c>
    </x:row>
    <x:row r="8">
      <x:c r="A8" s="20" t="s">
        <x:v>478</x:v>
      </x:c>
      <x:c r="B8" s="21" t="s">
        <x:v>479</x:v>
      </x:c>
      <x:c r="C8" s="21" t="s">
        <x:v>470</x:v>
      </x:c>
      <x:c r="D8" s="21">
        <x:v>350.0</x:v>
      </x:c>
      <x:c r="E8" s="21"/>
      <x:c r="F8" s="21" t="s">
        <x:v>471</x:v>
      </x:c>
      <x:c r="G8" s="24" t="s">
        <x:v>472</x:v>
      </x:c>
      <x:c r="H8" s="21" t="s">
        <x:v>480</x:v>
      </x:c>
    </x:row>
    <x:row r="9">
      <x:c r="A9" s="16" t="s">
        <x:v>481</x:v>
      </x:c>
      <x:c r="B9" s="17" t="s">
        <x:v>479</x:v>
      </x:c>
      <x:c r="C9" s="17" t="s">
        <x:v>470</x:v>
      </x:c>
      <x:c r="D9" s="17">
        <x:v>350.0</x:v>
      </x:c>
      <x:c r="E9" s="17"/>
      <x:c r="F9" s="17" t="s">
        <x:v>471</x:v>
      </x:c>
      <x:c r="G9" s="24" t="s">
        <x:v>472</x:v>
      </x:c>
      <x:c r="H9" s="17" t="s">
        <x:v>482</x:v>
      </x:c>
    </x:row>
    <x:row r="10">
      <x:c r="A10" s="41" t="inlineStr">
        <x:is>
          <x:t xml:space="preserve">LLC Formation (state TBD)</x:t>
        </x:is>
      </x:c>
      <x:c r="B10" s="21" t="s">
        <x:v>479</x:v>
      </x:c>
      <x:c r="C10" s="21" t="s">
        <x:v>470</x:v>
      </x:c>
      <x:c r="D10" s="21">
        <x:v>155.0</x:v>
      </x:c>
      <x:c r="E10" s="21"/>
      <x:c r="F10" s="21" t="s">
        <x:v>471</x:v>
      </x:c>
      <x:c r="G10" s="24" t="s">
        <x:v>472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483</x:v>
      </x:c>
      <x:c r="B11" s="21" t="s">
        <x:v>479</x:v>
      </x:c>
      <x:c r="C11" s="21" t="s">
        <x:v>470</x:v>
      </x:c>
      <x:c r="D11" s="26">
        <x:v>125.0</x:v>
      </x:c>
      <x:c r="E11" s="21"/>
      <x:c r="F11" s="21" t="s">
        <x:v>471</x:v>
      </x:c>
      <x:c r="G11" s="24" t="s">
        <x:v>472</x:v>
      </x:c>
      <x:c r="H11" s="26" t="s">
        <x:v>484</x:v>
      </x:c>
    </x:row>
    <x:row r="12">
      <x:c r="A12" s="16" t="s">
        <x:v>485</x:v>
      </x:c>
      <x:c r="B12" s="17" t="s">
        <x:v>479</x:v>
      </x:c>
      <x:c r="C12" s="17" t="s">
        <x:v>486</x:v>
      </x:c>
      <x:c r="D12" s="17">
        <x:v>125.0</x:v>
      </x:c>
      <x:c r="E12" s="17"/>
      <x:c r="F12" s="17" t="s">
        <x:v>487</x:v>
      </x:c>
      <x:c r="G12" s="24" t="s">
        <x:v>472</x:v>
      </x:c>
      <x:c r="H12" s="17" t="s">
        <x:v>488</x:v>
      </x:c>
    </x:row>
    <x:row r="13">
      <x:c r="A13" s="20" t="s">
        <x:v>489</x:v>
      </x:c>
      <x:c r="B13" s="21" t="s">
        <x:v>490</x:v>
      </x:c>
      <x:c r="C13" s="21" t="s">
        <x:v>486</x:v>
      </x:c>
      <x:c r="D13" s="21">
        <x:v>15.0</x:v>
      </x:c>
      <x:c r="E13" s="21"/>
      <x:c r="F13" s="21" t="s">
        <x:v>487</x:v>
      </x:c>
      <x:c r="G13" s="24" t="s">
        <x:v>472</x:v>
      </x:c>
      <x:c r="H13" s="21" t="s">
        <x:v>491</x:v>
      </x:c>
    </x:row>
    <x:row r="14" ht="16.5" customHeight="1">
      <x:c r="A14" s="16" t="s">
        <x:v>492</x:v>
      </x:c>
      <x:c r="B14" s="17" t="s">
        <x:v>490</x:v>
      </x:c>
      <x:c r="C14" s="17" t="s">
        <x:v>486</x:v>
      </x:c>
      <x:c r="D14" s="17">
        <x:v>30.0</x:v>
      </x:c>
      <x:c r="E14" s="17"/>
      <x:c r="F14" s="17" t="s">
        <x:v>487</x:v>
      </x:c>
      <x:c r="G14" s="24" t="s">
        <x:v>472</x:v>
      </x:c>
      <x:c r="H14" s="17" t="s">
        <x:v>493</x:v>
      </x:c>
    </x:row>
    <x:row r="15">
      <x:c r="A15" s="15" t="s">
        <x:v>494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495</x:v>
      </x:c>
      <x:c r="B16" s="33" t="s">
        <x:v>490</x:v>
      </x:c>
      <x:c r="C16" s="33" t="s">
        <x:v>496</x:v>
      </x:c>
      <x:c r="D16" s="33">
        <x:v>18.0</x:v>
      </x:c>
      <x:c r="E16" s="33"/>
      <x:c r="F16" s="33" t="s">
        <x:v>496</x:v>
      </x:c>
      <x:c r="G16" s="39" t="s">
        <x:v>472</x:v>
      </x:c>
      <x:c r="H16" s="33" t="s">
        <x:v>497</x:v>
      </x:c>
    </x:row>
    <x:row r="17">
      <x:c r="A17" s="20" t="s">
        <x:v>498</x:v>
      </x:c>
      <x:c r="B17" s="21" t="s">
        <x:v>490</x:v>
      </x:c>
      <x:c r="C17" s="21" t="s">
        <x:v>496</x:v>
      </x:c>
      <x:c r="D17" s="21">
        <x:v>0.0</x:v>
      </x:c>
      <x:c r="E17" s="21"/>
      <x:c r="F17" s="21" t="s">
        <x:v>496</x:v>
      </x:c>
      <x:c r="G17" s="24" t="s">
        <x:v>472</x:v>
      </x:c>
      <x:c r="H17" s="21" t="s">
        <x:v>499</x:v>
      </x:c>
    </x:row>
    <x:row r="18">
      <x:c r="A18" s="16" t="s">
        <x:v>500</x:v>
      </x:c>
      <x:c r="B18" s="17" t="s">
        <x:v>490</x:v>
      </x:c>
      <x:c r="C18" s="17" t="s">
        <x:v>496</x:v>
      </x:c>
      <x:c r="D18" s="17">
        <x:v>0.0</x:v>
      </x:c>
      <x:c r="E18" s="17"/>
      <x:c r="F18" s="17" t="s">
        <x:v>496</x:v>
      </x:c>
      <x:c r="G18" s="24" t="s">
        <x:v>472</x:v>
      </x:c>
      <x:c r="H18" s="17" t="s">
        <x:v>501</x:v>
      </x:c>
    </x:row>
    <x:row r="19">
      <x:c r="A19" s="20" t="s">
        <x:v>502</x:v>
      </x:c>
      <x:c r="B19" s="21" t="s">
        <x:v>490</x:v>
      </x:c>
      <x:c r="C19" s="21" t="s">
        <x:v>496</x:v>
      </x:c>
      <x:c r="D19" s="21">
        <x:v>0.0</x:v>
      </x:c>
      <x:c r="E19" s="21"/>
      <x:c r="F19" s="21" t="s">
        <x:v>496</x:v>
      </x:c>
      <x:c r="G19" s="24" t="s">
        <x:v>472</x:v>
      </x:c>
      <x:c r="H19" s="21" t="s">
        <x:v>503</x:v>
      </x:c>
    </x:row>
    <x:row r="20">
      <x:c r="A20" s="16" t="s">
        <x:v>504</x:v>
      </x:c>
      <x:c r="B20" s="17" t="s">
        <x:v>490</x:v>
      </x:c>
      <x:c r="C20" s="17" t="s">
        <x:v>496</x:v>
      </x:c>
      <x:c r="D20" s="17">
        <x:v>0.0</x:v>
      </x:c>
      <x:c r="E20" s="17"/>
      <x:c r="F20" s="17" t="s">
        <x:v>496</x:v>
      </x:c>
      <x:c r="G20" s="24" t="s">
        <x:v>472</x:v>
      </x:c>
      <x:c r="H20" s="17" t="s">
        <x:v>505</x:v>
      </x:c>
    </x:row>
    <x:row r="21" ht="15.75" customHeight="1">
      <x:c r="A21" s="20" t="s">
        <x:v>506</x:v>
      </x:c>
      <x:c r="B21" s="21" t="s">
        <x:v>490</x:v>
      </x:c>
      <x:c r="C21" s="21" t="s">
        <x:v>496</x:v>
      </x:c>
      <x:c r="D21" s="21">
        <x:v>0.0</x:v>
      </x:c>
      <x:c r="E21" s="21"/>
      <x:c r="F21" s="21" t="s">
        <x:v>496</x:v>
      </x:c>
      <x:c r="G21" s="24" t="s">
        <x:v>472</x:v>
      </x:c>
      <x:c r="H21" s="21" t="s">
        <x:v>507</x:v>
      </x:c>
    </x:row>
    <x:row r="22" ht="25.5" customHeight="1">
      <x:c r="A22" s="36" t="s">
        <x:v>508</x:v>
      </x:c>
      <x:c r="B22" s="37" t="s">
        <x:v>490</x:v>
      </x:c>
      <x:c r="C22" s="37" t="s">
        <x:v>496</x:v>
      </x:c>
      <x:c r="D22" s="37">
        <x:v>0.0</x:v>
      </x:c>
      <x:c r="E22" s="37"/>
      <x:c r="F22" s="37" t="s">
        <x:v>496</x:v>
      </x:c>
      <x:c r="G22" s="30" t="s">
        <x:v>472</x:v>
      </x:c>
      <x:c r="H22" s="37" t="s">
        <x:v>509</x:v>
      </x:c>
    </x:row>
    <x:row r="23" ht="15.75" customHeight="1">
      <x:c r="A23" s="15" t="s">
        <x:v>510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511</x:v>
      </x:c>
      <x:c r="B24" s="33" t="s">
        <x:v>469</x:v>
      </x:c>
      <x:c r="C24" s="33" t="s">
        <x:v>512</x:v>
      </x:c>
      <x:c r="D24" s="33">
        <x:v>0.0</x:v>
      </x:c>
      <x:c r="E24" s="33"/>
      <x:c r="F24" s="33" t="s">
        <x:v>513</x:v>
      </x:c>
      <x:c r="G24" s="39" t="s">
        <x:v>514</x:v>
      </x:c>
      <x:c r="H24" s="33" t="s">
        <x:v>515</x:v>
      </x:c>
    </x:row>
    <x:row r="25" ht="15.75" customHeight="1">
      <x:c r="A25" s="20" t="s">
        <x:v>516</x:v>
      </x:c>
      <x:c r="B25" s="21" t="s">
        <x:v>469</x:v>
      </x:c>
      <x:c r="C25" s="21" t="s">
        <x:v>512</x:v>
      </x:c>
      <x:c r="D25" s="21">
        <x:v>0.0</x:v>
      </x:c>
      <x:c r="E25" s="21"/>
      <x:c r="F25" s="21" t="s">
        <x:v>513</x:v>
      </x:c>
      <x:c r="G25" s="24" t="s">
        <x:v>514</x:v>
      </x:c>
      <x:c r="H25" s="21" t="s">
        <x:v>517</x:v>
      </x:c>
    </x:row>
    <x:row r="26" ht="25.5" customHeight="1">
      <x:c r="A26" s="36" t="s">
        <x:v>518</x:v>
      </x:c>
      <x:c r="B26" s="37" t="s">
        <x:v>469</x:v>
      </x:c>
      <x:c r="C26" s="37" t="s">
        <x:v>512</x:v>
      </x:c>
      <x:c r="D26" s="37">
        <x:v>0.0</x:v>
      </x:c>
      <x:c r="E26" s="37"/>
      <x:c r="F26" s="37" t="s">
        <x:v>519</x:v>
      </x:c>
      <x:c r="G26" s="30" t="s">
        <x:v>514</x:v>
      </x:c>
      <x:c r="H26" s="37" t="s">
        <x:v>520</x:v>
      </x:c>
    </x:row>
    <x:row r="27" ht="15.75" customHeight="1">
      <x:c r="A27" s="15" t="s">
        <x:v>521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522</x:v>
      </x:c>
      <x:c r="B28" s="33" t="s">
        <x:v>469</x:v>
      </x:c>
      <x:c r="C28" s="33" t="s">
        <x:v>496</x:v>
      </x:c>
      <x:c r="D28" s="33">
        <x:v>0.0</x:v>
      </x:c>
      <x:c r="E28" s="33"/>
      <x:c r="F28" s="33" t="s">
        <x:v>496</x:v>
      </x:c>
      <x:c r="G28" s="39" t="s">
        <x:v>523</x:v>
      </x:c>
      <x:c r="H28" s="33" t="s">
        <x:v>524</x:v>
      </x:c>
    </x:row>
    <x:row r="29" ht="15.75" customHeight="1">
      <x:c r="A29" s="20" t="s">
        <x:v>525</x:v>
      </x:c>
      <x:c r="B29" s="21" t="s">
        <x:v>526</x:v>
      </x:c>
      <x:c r="C29" s="21" t="s">
        <x:v>496</x:v>
      </x:c>
      <x:c r="D29" s="21">
        <x:v>0.0</x:v>
      </x:c>
      <x:c r="E29" s="21"/>
      <x:c r="F29" s="21" t="s">
        <x:v>496</x:v>
      </x:c>
      <x:c r="G29" s="24" t="s">
        <x:v>523</x:v>
      </x:c>
      <x:c r="H29" s="21" t="s">
        <x:v>527</x:v>
      </x:c>
    </x:row>
    <x:row r="30" ht="15.75" customHeight="1">
      <x:c r="A30" s="16" t="s">
        <x:v>528</x:v>
      </x:c>
      <x:c r="B30" s="17" t="s">
        <x:v>479</x:v>
      </x:c>
      <x:c r="C30" s="17" t="s">
        <x:v>496</x:v>
      </x:c>
      <x:c r="D30" s="17">
        <x:v>0.0</x:v>
      </x:c>
      <x:c r="E30" s="17"/>
      <x:c r="F30" s="17" t="s">
        <x:v>496</x:v>
      </x:c>
      <x:c r="G30" s="24" t="s">
        <x:v>523</x:v>
      </x:c>
      <x:c r="H30" s="17" t="s">
        <x:v>529</x:v>
      </x:c>
    </x:row>
    <x:row r="31" ht="25.5" customHeight="1"/>
    <x:row r="32" ht="15.75" customHeight="1">
      <x:c r="A32" s="15" t="s">
        <x:v>530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531</x:v>
      </x:c>
      <x:c r="B33" s="69" t="n">
        <x:f>SUM(D5:D11)</x:f>
        <x:v>1980</x:v>
      </x:c>
    </x:row>
    <x:row r="34" ht="15.75" customHeight="1">
      <x:c r="A34" s="7" t="s">
        <x:v>532</x:v>
      </x:c>
      <x:c r="B34" s="70">
        <x:v>170.0</x:v>
      </x:c>
    </x:row>
    <x:row r="35" ht="15.75" customHeight="1">
      <x:c r="A35" s="6" t="s">
        <x:v>533</x:v>
      </x:c>
      <x:c r="B35" s="69">
        <x:v>18.0</x:v>
      </x:c>
    </x:row>
    <x:row r="36" ht="15.75" customHeight="1">
      <x:c r="A36" s="7" t="s">
        <x:v>534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535</x:v>
      </x:c>
      <x:c r="B1"/>
      <x:c r="C1"/>
      <x:c r="D1"/>
      <x:c r="E1"/>
      <x:c r="F1"/>
      <x:c r="G1"/>
    </x:row>
    <x:row r="2">
      <x:c r="A2" t="s">
        <x:v>536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537</x:v>
      </x:c>
      <x:c r="B4"/>
      <x:c r="C4"/>
      <x:c r="D4" t="s">
        <x:v>538</x:v>
      </x:c>
      <x:c r="E4"/>
      <x:c r="F4"/>
      <x:c r="G4"/>
    </x:row>
    <x:row r="5">
      <x:c r="A5" t="s">
        <x:v>539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540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541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542</x:v>
      </x:c>
      <x:c r="B12"/>
      <x:c r="C12" t="s">
        <x:v>543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544</x:v>
      </x:c>
      <x:c r="D14"/>
      <x:c r="E14"/>
      <x:c r="F14"/>
      <x:c r="G14"/>
    </x:row>
    <x:row r="15">
      <x:c r="A15" t="s">
        <x:v>21</x:v>
      </x:c>
      <x:c r="B15"/>
      <x:c r="C15" t="s">
        <x:v>545</x:v>
      </x:c>
      <x:c r="D15"/>
      <x:c r="E15"/>
      <x:c r="F15"/>
      <x:c r="G15"/>
    </x:row>
    <x:row r="16">
      <x:c r="A16"/>
      <x:c r="B16"/>
      <x:c r="C16" t="s">
        <x:v>546</x:v>
      </x:c>
      <x:c r="D16"/>
      <x:c r="E16"/>
      <x:c r="F16"/>
      <x:c r="G16"/>
    </x:row>
    <x:row r="17">
      <x:c r="A17"/>
      <x:c r="B17"/>
      <x:c r="C17" t="s">
        <x:v>547</x:v>
      </x:c>
      <x:c r="D17"/>
      <x:c r="E17"/>
      <x:c r="F17"/>
      <x:c r="G17"/>
    </x:row>
    <x:row r="18">
      <x:c r="A18"/>
      <x:c r="B18"/>
      <x:c r="C18" t="s">
        <x:v>548</x:v>
      </x:c>
      <x:c r="D18"/>
      <x:c r="E18"/>
      <x:c r="F18"/>
      <x:c r="G18"/>
    </x:row>
    <x:row r="19">
      <x:c r="A19"/>
      <x:c r="B19"/>
      <x:c r="C19" t="s">
        <x:v>549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Oasis/Drimy launch implementation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The preserved Year 1 expense total appears inconsistent; review separately before changing it.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4</x:v>
      </x:c>
      <x:c r="F4" s="109" t="n">
        <x:f>COUNTIF('Delivery Tracker'!$B$4:$B$400,$A4)</x:f>
        <x:v>6</x:v>
      </x:c>
      <x:c r="G4" s="118" t="n">
        <x:f>IF(F4=0,0,E4/F4)</x:f>
        <x:v>0.6666666666666666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1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1</x:v>
      </x:c>
      <x:c r="L4" s="109" t="str">
        <x:v>Align the execution tracker with PLAN.md and keep decisions/evidence current.</x:v>
      </x:c>
      <x:c r="M4" s="109" t="str">
        <x:v>Publish the tracker reconciliation in PR #13, then keep owners and dates current.</x:v>
      </x:c>
      <x:c r="N4" s="109" t="str">
        <x:v>Clean baseline; tracker reflects reality; MVP approved; open decisions have an owner and date.</x:v>
      </x:c>
      <x:c r="O4" s="109" t="str">
        <x:v>https://github.com/QK-Connoisseur/PDoki/blob/dev/PLAN.md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1</x:v>
      </x:c>
      <x:c r="F6" s="111" t="n">
        <x:f>COUNTIF('Delivery Tracker'!$B$4:$B$400,$A6)</x:f>
        <x:v>16</x:v>
      </x:c>
      <x:c r="G6" s="119" t="n">
        <x:f>IF(F6=0,0,E6/F6)</x:f>
        <x:v>0.0625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3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Review draft PR #13: application-owned PostgreSQL worker foundation and fixed canary only.</x:v>
      </x:c>
      <x:c r="M6" s="111" t="str">
        <x:v>Fresh exact-head CI and founder review; merge remains separately gated.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2</x:v>
      </x:c>
      <x:c r="F8" s="111" t="n">
        <x:f>COUNTIF('Delivery Tracker'!$B$4:$B$400,$A8)</x:f>
        <x:v>32</x:v>
      </x:c>
      <x:c r="G8" s="119" t="n">
        <x:f>IF(F8=0,0,E8/F8)</x:f>
        <x:v>0.0625</x:v>
      </x:c>
      <x:c r="H8" s="111" t="n">
        <x:f>COUNTIFS('Delivery Tracker'!$B$4:$B$400,$A8,'Delivery Tracker'!$H$4:$H$400,"In Progress")</x:f>
        <x:v>15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15</x:v>
      </x:c>
      <x:c r="L8" s="111" t="str">
        <x:v>Creator application and dormant non-approval review foundations are published; activation remains blocked.</x:v>
      </x:c>
      <x:c r="M8" s="111" t="str">
        <x:v>Design and locally verify the private operator identity/access boundary; do not activate APPROVED.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</x:v>
      </x:c>
      <x:c r="P8" s="112" t="n">
        <x:v>46255.666666666664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Approve the content/media domain and protected upload lifecycle after Phase 4 gates.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46255.666666666664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Complete prerequisite Phase 4–6 controls before implementing the full member-to-creator flow.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46255.666666666664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Strong prototypes exist; real data, persistence, entitlement, and booking/purchase flows remain open.</x:v>
      </x:c>
      <x:c r="M12" s="111" t="str">
        <x:v>Integrate only after content, entitlement, and Veso foundations exist.</x:v>
      </x:c>
      <x:c r="N12" s="111" t="str">
        <x:v>Feed actions persist; Store reflects account data; Connect booking lifecycle works.</x:v>
      </x:c>
      <x:c r="O12" s="111" t="str">
        <x:v>https://github.com/QK-Connoisseur/PDoki/blob/dev/PLAN.md#12-phase-8--feed-social-actions-store-and-connect</x:v>
      </x:c>
      <x:c r="P12" s="112" t="n">
        <x:v>46255.666666666664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Chat UI and auth email infrastructure exist; WebSockets and persisted platform notifications remain open.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46255.666666666664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Private shell and dormant review seam exist; production identity, hosting, permissions, and UI do not.</x:v>
      </x:c>
      <x:c r="M15" s="111" t="str">
        <x:v>Approve an isolated private-operations identity/access design and local/staging verification slice.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https://github.com/QK-Connoisseur/PDoki/blob/dev/docs/operations/README.md</x:v>
      </x:c>
      <x:c r="P15" s="112" t="n">
        <x:v>46255.666666666664</x:v>
      </x:c>
    </x:row>
    <x:row r="16" ht="58" customHeight="1">
      <x:c r="A16" s="111" t="str">
        <x:v>P12</x:v>
      </x:c>
      <x:c r="B16" s="111" t="str">
        <x:v>Oasis/Drimy launch implementation</x:v>
      </x:c>
      <x:c r="C16" s="111" t="str">
        <x:v>Partially Complete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1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1</x:v>
      </x:c>
      <x:c r="L16" s="111" t="str">
        <x:v>Client-only prototype exists; server-authoritative state, ledgers, cooldowns, and inventory are absent.</x:v>
      </x:c>
      <x:c r="M16" s="111" t="str">
        <x:v>Define server domains and reward rules after ledger/idempotency foundations.</x:v>
      </x:c>
      <x:c r="N16" s="111" t="str">
        <x:v>Progress survives devices; reset is reliable; rewards cannot duplicate; inventory renders correctly.</x:v>
      </x:c>
      <x:c r="O16" s="111" t="str">
        <x:v>https://github.com/QK-Connoisseur/PDoki/blob/dev/PLAN.md#16-phase-12--oasisdrimy-launch-implementation</x:v>
      </x:c>
      <x:c r="P16" s="112" t="n">
        <x:v>46255.666666666664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0</x:v>
      </x:c>
      <x:c r="F18" s="111" t="n">
        <x:f>COUNTIF('Delivery Tracker'!$B$4:$B$400,$A18)</x:f>
        <x:v>22</x:v>
      </x:c>
      <x:c r="G18" s="119" t="n">
        <x:f>IF(F18=0,0,E18/F18)</x:f>
        <x:v>0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1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exist;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8" priority="1" operator="containsText" text="Complete"/>
    <x:cfRule type="containsText" dxfId="29" priority="2" operator="containsText" text="Partially Complete"/>
    <x:cfRule type="containsText" dxfId="30" priority="3" operator="containsText" text="Foundation Complete"/>
    <x:cfRule type="containsText" dxfId="31" priority="4" operator="containsText" text="Blocked"/>
    <x:cfRule type="containsText" dxfId="32" priority="5" operator="containsText" text="Not Started"/>
    <x:cfRule type="containsText" dxfId="33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6c4f1564a14df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Confirm dependencies and owner, then define the first deliverable.</x:v>
      </x:c>
      <x:c r="N18" s="112"/>
      <x:c r="O18" s="111" t="str"/>
      <x:c r="P18" s="112" t="n">
        <x:v>46250.666666666664</x:v>
      </x:c>
      <x:c r="Q18" s="111" t="str">
        <x:v>Document policies/controls required by CCBill and Epoch for merchant onboarding.</x:v>
      </x:c>
      <x:c r="R18" s="111" t="str">
        <x:v>CCBill/Epoch applications have not started. Assemble the compliance package in parallel with product development.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Counsel / founder decision</x:v>
      </x:c>
      <x:c r="M23" s="111" t="str">
        <x:v>Close the remaining gap: Entity not filed.</x:v>
      </x:c>
      <x:c r="N23" s="112"/>
      <x:c r="O23" s="111" t="str"/>
      <x:c r="P23" s="112" t="n">
        <x:v>46250.666666666664</x:v>
      </x:c>
      <x:c r="Q23" s="111" t="str">
        <x:v>Manage privacy concerns — MD biz records may expose personal identity linked to NSFW platform.</x:v>
      </x:c>
      <x:c r="R23" s="111" t="str">
        <x:v>Entity not filed. Evaluate Wyoming and other privacy/no-individual-income-tax candidates with an attorney and CPA; account for foreign qualification where the founder operates.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Confirm dependencies and owner, then define the first deliverable.</x:v>
      </x:c>
      <x:c r="N40" s="112"/>
      <x:c r="O40" s="111" t="str"/>
      <x:c r="P40" s="112" t="n">
        <x:v>46250.666666666664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First 500 creators get permanent Founding Creator badge + reduced platform commission. First 500 members get Founding Member badge + discount. Drives early community loyalty.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Close the remaining gap: Launch-critical.</x:v>
      </x:c>
      <x:c r="N68" s="112"/>
      <x:c r="O68" s="111" t="str"/>
      <x:c r="P68" s="112" t="n">
        <x:v>46250.666666666664</x:v>
      </x:c>
      <x:c r="Q68" s="111" t="str">
        <x:v>Social discovery front-end for session bookings (E-Chat, Voice Call, Video Call, Game With Me).</x:v>
      </x:c>
      <x:c r="R68" s="111" t="str">
        <x:v>Launch-critical. UI prototype exists. Requires service configuration, availability, Veso booking, cancellation, reviews, and disputes.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Low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46250.666666666664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Medium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46250.666666666664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Low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46250.666666666664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Medium</x:v>
      </x:c>
      <x:c r="K136" s="111" t="str">
        <x:v>Engineering</x:v>
      </x:c>
      <x:c r="L136" s="111" t="str"/>
      <x:c r="M136" s="111" t="str">
        <x:v>Close the remaining gap: UI prototype exists; full booking lifecycle remains.</x:v>
      </x:c>
      <x:c r="N136" s="112"/>
      <x:c r="O136" s="111" t="str"/>
      <x:c r="P136" s="112" t="n">
        <x:v>46250.666666666664</x:v>
      </x:c>
      <x:c r="Q136" s="111" t="str">
        <x:v>Implement service setup, schedules, time zones, Veso booking, confirmations, cancellations, disputes, and reviews.</x:v>
      </x:c>
      <x:c r="R136" s="111" t="str">
        <x:v>UI prototype exists; full booking lifecycle remains.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Complete Oasis / Drimy for launch</x:v>
      </x:c>
      <x:c r="H137" s="111" t="str">
        <x:v>In Progress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/>
      <x:c r="M137" s="111" t="str">
        <x:v>Close the remaining gap: Moved from post-MVP into launch scope; current page is client-only mock logic.</x:v>
      </x:c>
      <x:c r="N137" s="112"/>
      <x:c r="O137" s="111" t="str"/>
      <x:c r="P137" s="112" t="n">
        <x:v>46250.666666666664</x:v>
      </x:c>
      <x:c r="Q137" s="111" t="str">
        <x:v>Create server-authoritative Drimy ownership, XP, Orbs, tasks, evolution, inventory, achievements, and daily resets.</x:v>
      </x:c>
      <x:c r="R137" s="111" t="str">
        <x:v>Moved from post-MVP into launch scope; current page is client-only mock logic.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Build Oasis collectibles and cosmetics</x:v>
      </x:c>
      <x:c r="H138" s="111" t="str">
        <x:v>Not Started</x:v>
      </x:c>
      <x:c r="I138" s="111" t="str">
        <x:v>N/A</x:v>
      </x:c>
      <x:c r="J138" s="111" t="str">
        <x:v>Medium</x:v>
      </x:c>
      <x:c r="K138" s="111" t="str">
        <x:v>Engineering</x:v>
      </x:c>
      <x:c r="L138" s="111" t="str"/>
      <x:c r="M138" s="111" t="str">
        <x:v>Confirm dependencies and owner, then define the first deliverable.</x:v>
      </x:c>
      <x:c r="N138" s="112"/>
      <x:c r="O138" s="111" t="str"/>
      <x:c r="P138" s="112" t="n">
        <x:v>46250.666666666664</x:v>
      </x:c>
      <x:c r="Q138" s="111" t="str">
        <x:v>Create collectible backgrounds, skins, frames, badges, equipped states, fixed-price store items, and reward inventory.</x:v>
      </x:c>
      <x:c r="R138" s="111" t="str">
        <x:v>Primary objective is daily retention. Paid randomized rewards require separate review.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Choose LLC state and privacy structure</x:v>
      </x:c>
      <x:c r="H145" s="111" t="str">
        <x:v>Not Started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Counsel / founder decision</x:v>
      </x:c>
      <x:c r="M145" s="111" t="str">
        <x:v>Confirm dependencies and owner, then define the first deliverable.</x:v>
      </x:c>
      <x:c r="N145" s="112"/>
      <x:c r="O145" s="111" t="str"/>
      <x:c r="P145" s="112" t="n">
        <x:v>46250.666666666664</x:v>
      </x:c>
      <x:c r="Q145" s="111" t="str">
        <x:v>Compare Wyoming and other candidates with an adult-platform attorney and CPA; include registered agent, taxes, and foreign qualification.</x:v>
      </x:c>
      <x:c r="R145" s="111" t="str">
        <x:v>No entity filed. A no-income-tax state does not by itself remove taxes or disclosure duties elsewhere.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Not Started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Confirm dependencies and owner, then define the first deliverable.</x:v>
      </x:c>
      <x:c r="N149" s="112"/>
      <x:c r="O149" s="111" t="str"/>
      <x:c r="P149" s="112" t="n">
        <x:v>46250.666666666664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Legal and support UI must not imply nonexistent operations.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In Review</x:v>
      </x:c>
      <x:c r="I152" s="111" t="str">
        <x:v>N/A</x:v>
      </x:c>
      <x:c r="J152" s="111" t="str">
        <x:v>High</x:v>
      </x:c>
      <x:c r="K152" s="111" t="str">
        <x:v>Engineering</x:v>
      </x:c>
      <x:c r="L152" s="111" t="str">
        <x:v>Founder review</x:v>
      </x:c>
      <x:c r="M152" s="111" t="str">
        <x:v>Review the reorganized workbook in draft PR #13; preserve the legacy tracker as the source snapshot.</x:v>
      </x:c>
      <x:c r="N152" s="112" t="n">
        <x:v>46255.666666666664</x:v>
      </x:c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No legacy task or note was deleted; the old Master Tracker remains visible.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In Review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 t="str">
        <x:v>Founder review + fresh CI</x:v>
      </x:c>
      <x:c r="M153" s="111" t="str">
        <x:v>Review the application-owned PostgreSQL worker foundation on PR #13; merge remains separately gated.</x:v>
      </x:c>
      <x:c r="N153" s="112" t="n">
        <x:v>46259.666666666664</x:v>
      </x:c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Foundation only: no product flow, provider, deployment, or live credentials.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In Review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 t="str">
        <x:v>Founder review + fresh CI</x:v>
      </x:c>
      <x:c r="M154" s="111" t="str">
        <x:v>Review atomic enqueue/replay, stale-token rejection, effect reconciliation, and exact-role evidence in PR #13.</x:v>
      </x:c>
      <x:c r="N154" s="112" t="n">
        <x:v>46259.666666666664</x:v>
      </x:c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This is not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In Review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 t="str">
        <x:v>Founder review + fresh CI</x:v>
      </x:c>
      <x:c r="M157" s="111" t="str">
        <x:v>Verify the tracked Compose mapping remains 127.0.0.1-only and the named volume is preserved.</x:v>
      </x:c>
      <x:c r="N157" s="112" t="n">
        <x:v>46259.666666666664</x:v>
      </x:c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Local-only hardening; no staging or production configuration.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Do not begin the product slice until creator approval, media entitlement, and payment-ledger prerequisites are accepted.</x:v>
      </x:c>
      <x:c r="N160" s="112"/>
      <x:c r="O160" s="111" t="str">
        <x:v>https://github.com/QK-Connoisseur/PDoki/blob/dev/PLAN.md#11-phase-7--core-end-to-end-vertical-slice</x:v>
      </x:c>
      <x:c r="P160" s="112" t="n">
        <x:v>46255.666666666664</x:v>
      </x:c>
      <x:c r="Q160" s="111" t="str">
        <x:v>Member discovers an approved creator, acquires Veso, purchases access, consumes authorized media, and produces auditable records without manual database edits.</x:v>
      </x:c>
      <x:c r="R160" s="111" t="str">
        <x:v>Explicit dependency marker so Phase 7 is visible even though no legacy tracker row represented it.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In Review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 t="str">
        <x:v>Fresh CI</x:v>
      </x:c>
      <x:c r="M161" s="111" t="str">
        <x:v>Keep the Playwright test clock fixed before navigation so active-promotion fixtures do not expire with wall time.</x:v>
      </x:c>
      <x:c r="N161" s="112" t="n">
        <x:v>46259.666666666664</x:v>
      </x:c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Initial PR #13 E2E failure was a date rollover; replacement exact-head CI passed before this tracker update.</x:v>
      </x:c>
      <x:c r="S161" s="111" t="str">
        <x:v>PR #13 CI repair</x:v>
      </x:c>
    </x:row>
  </x:sheetData>
  <x:mergeCells>
    <x:mergeCell ref="A1:S1"/>
    <x:mergeCell ref="A2:S2"/>
  </x:mergeCells>
  <x:conditionalFormatting sqref="H4:H161">
    <x:cfRule type="containsText" dxfId="0" priority="1" operator="containsText" text="Done"/>
    <x:cfRule type="containsText" dxfId="4" priority="2" operator="containsText" text="In Progress"/>
    <x:cfRule type="containsText" dxfId="8" priority="3" operator="containsText" text="In Review"/>
    <x:cfRule type="containsText" dxfId="12" priority="4" operator="containsText" text="Blocked"/>
    <x:cfRule type="containsText" dxfId="16" priority="5" operator="containsText" text="Not Started"/>
    <x:cfRule type="containsText" dxfId="20" priority="6" operator="containsText" text="Ready"/>
    <x:cfRule type="containsText" dxfId="24" priority="7" operator="containsText" text="Deferred"/>
  </x:conditionalFormatting>
  <x:dataValidations count="5">
    <x:dataValidation type="list" sqref="H4:H161">
      <x:formula1>"Not Started,Ready,In Progress,In Review,Blocked,Done,Deferred"</x:formula1>
    </x:dataValidation>
    <x:dataValidation type="list" sqref="I4:I161">
      <x:formula1>"Decision Locked,UI Prototype,Backend Implemented,Integrated,Production-Ready,N/A"</x:formula1>
    </x:dataValidation>
    <x:dataValidation type="list" sqref="J4:J161">
      <x:formula1>"Critical,High,Medium,Low"</x:formula1>
    </x:dataValidation>
    <x:dataValidation type="list" sqref="K4:K161">
      <x:formula1>"Founder,Engineering,Operations,Counsel,Unassigned"</x:formula1>
    </x:dataValidation>
    <x:dataValidation type="list" sqref="E4:E161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f806c34dff43b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P00-T03</x:v>
      </x:c>
      <x:c r="B4" s="109" t="str">
        <x:v>P00</x:v>
      </x:c>
      <x:c r="C4" s="109" t="str">
        <x:v>Baseline, tracker, and scope control</x:v>
      </x:c>
      <x:c r="D4" s="109" t="str">
        <x:v>Tracker &amp; scope control</x:v>
      </x:c>
      <x:c r="E4" s="109" t="str">
        <x:v>Reclassify the tracker to PLAN.md Phases 0–14</x:v>
      </x:c>
      <x:c r="F4" s="109" t="str">
        <x:v>In Review</x:v>
      </x:c>
      <x:c r="G4" s="109" t="str">
        <x:v>Engineering</x:v>
      </x:c>
      <x:c r="H4" s="109" t="str">
        <x:v>Founder review</x:v>
      </x:c>
      <x:c r="I4" s="109" t="str">
        <x:v>Review the reorganized workbook in draft PR #13; preserve the legacy tracker as the source snapshot.</x:v>
      </x:c>
      <x:c r="J4" s="110" t="n">
        <x:v>46255.666666666664</x:v>
      </x:c>
      <x:c r="K4" s="109" t="str">
        <x:v>https://github.com/QK-Connoisseur/PDoki/pull/13</x:v>
      </x:c>
      <x:c r="L4" s="110" t="n">
        <x:v>46255.666666666664</x:v>
      </x:c>
    </x:row>
    <x:row r="5" ht="54" customHeight="1">
      <x:c r="A5" s="111" t="str">
        <x:v>P02-T11</x:v>
      </x:c>
      <x:c r="B5" s="111" t="str">
        <x:v>P02</x:v>
      </x:c>
      <x:c r="C5" s="111" t="str">
        <x:v>Backend and database foundation</x:v>
      </x:c>
      <x:c r="D5" s="111" t="str">
        <x:v>Durable async work</x:v>
      </x:c>
      <x:c r="E5" s="111" t="str">
        <x:v>Add a background-job queue</x:v>
      </x:c>
      <x:c r="F5" s="111" t="str">
        <x:v>In Review</x:v>
      </x:c>
      <x:c r="G5" s="111" t="str">
        <x:v>Engineering</x:v>
      </x:c>
      <x:c r="H5" s="111" t="str">
        <x:v>Founder review + fresh CI</x:v>
      </x:c>
      <x:c r="I5" s="111" t="str">
        <x:v>Review the application-owned PostgreSQL worker foundation on PR #13; merge remains separately gated.</x:v>
      </x:c>
      <x:c r="J5" s="112" t="n">
        <x:v>46259.666666666664</x:v>
      </x:c>
      <x:c r="K5" s="111" t="str">
        <x:v>https://github.com/QK-Connoisseur/PDoki/pull/13</x:v>
      </x:c>
      <x:c r="L5" s="112" t="n">
        <x:v>46255.666666666664</x:v>
      </x:c>
    </x:row>
    <x:row r="6" ht="54" customHeight="1">
      <x:c r="A6" s="111" t="str">
        <x:v>P02-T12A</x:v>
      </x:c>
      <x:c r="B6" s="111" t="str">
        <x:v>P02</x:v>
      </x:c>
      <x:c r="C6" s="111" t="str">
        <x:v>Backend and database foundation</x:v>
      </x:c>
      <x:c r="D6" s="111" t="str">
        <x:v>Durable async work</x:v>
      </x:c>
      <x:c r="E6" s="111" t="str">
        <x:v>Prove canary-specific idempotency and lease fencing</x:v>
      </x:c>
      <x:c r="F6" s="111" t="str">
        <x:v>In Review</x:v>
      </x:c>
      <x:c r="G6" s="111" t="str">
        <x:v>Engineering</x:v>
      </x:c>
      <x:c r="H6" s="111" t="str">
        <x:v>Founder review + fresh CI</x:v>
      </x:c>
      <x:c r="I6" s="111" t="str">
        <x:v>Review atomic enqueue/replay, stale-token rejection, effect reconciliation, and exact-role evidence in PR #13.</x:v>
      </x:c>
      <x:c r="J6" s="112" t="n">
        <x:v>46259.666666666664</x:v>
      </x:c>
      <x:c r="K6" s="111" t="str">
        <x:v>https://github.com/QK-Connoisseur/PDoki/pull/13</x:v>
      </x:c>
      <x:c r="L6" s="112" t="n">
        <x:v>46255.666666666664</x:v>
      </x:c>
    </x:row>
    <x:row r="7" ht="54" customHeight="1">
      <x:c r="A7" s="111" t="str">
        <x:v>P02-NET-001</x:v>
      </x:c>
      <x:c r="B7" s="111" t="str">
        <x:v>P02</x:v>
      </x:c>
      <x:c r="C7" s="111" t="str">
        <x:v>Backend and database foundation</x:v>
      </x:c>
      <x:c r="D7" s="111" t="str">
        <x:v>Local security</x:v>
      </x:c>
      <x:c r="E7" s="111" t="str">
        <x:v>Bind local PostgreSQL host exposure to IPv4 loopback</x:v>
      </x:c>
      <x:c r="F7" s="111" t="str">
        <x:v>In Review</x:v>
      </x:c>
      <x:c r="G7" s="111" t="str">
        <x:v>Engineering</x:v>
      </x:c>
      <x:c r="H7" s="111" t="str">
        <x:v>Founder review + fresh CI</x:v>
      </x:c>
      <x:c r="I7" s="111" t="str">
        <x:v>Verify the tracked Compose mapping remains 127.0.0.1-only and the named volume is preserved.</x:v>
      </x:c>
      <x:c r="J7" s="112" t="n">
        <x:v>46259.666666666664</x:v>
      </x:c>
      <x:c r="K7" s="111" t="str">
        <x:v>https://github.com/QK-Connoisseur/PDoki/pull/13</x:v>
      </x:c>
      <x:c r="L7" s="112" t="n">
        <x:v>46255.666666666664</x:v>
      </x:c>
    </x:row>
    <x:row r="8" ht="54" customHeight="1">
      <x:c r="A8" s="111" t="str">
        <x:v>P07-E2E-001</x:v>
      </x:c>
      <x:c r="B8" s="111" t="str">
        <x:v>P07</x:v>
      </x:c>
      <x:c r="C8" s="111" t="str">
        <x:v>Core end-to-end vertical slice</x:v>
      </x:c>
      <x:c r="D8" s="111" t="str">
        <x:v>Core vertical slice</x:v>
      </x:c>
      <x:c r="E8" s="111" t="str">
        <x:v>Complete the member-to-creator end-to-end product flow</x:v>
      </x:c>
      <x:c r="F8" s="111" t="str">
        <x:v>Blocked</x:v>
      </x:c>
      <x:c r="G8" s="111" t="str">
        <x:v>Engineering</x:v>
      </x:c>
      <x:c r="H8" s="111" t="str">
        <x:v>Phase 4–6 dependencies</x:v>
      </x:c>
      <x:c r="I8" s="111" t="str">
        <x:v>Do not begin the product slice until creator approval, media entitlement, and payment-ledger prerequisites are accepted.</x:v>
      </x:c>
      <x:c r="J8" s="112"/>
      <x:c r="K8" s="111" t="str">
        <x:v>https://github.com/QK-Connoisseur/PDoki/blob/dev/PLAN.md#11-phase-7--core-end-to-end-vertical-slice</x:v>
      </x:c>
      <x:c r="L8" s="112" t="n">
        <x:v>46255.666666666664</x:v>
      </x:c>
    </x:row>
    <x:row r="9" ht="54" customHeight="1">
      <x:c r="A9" s="111" t="str">
        <x:v>P14-QA-001</x:v>
      </x:c>
      <x:c r="B9" s="111" t="str">
        <x:v>P14</x:v>
      </x:c>
      <x:c r="C9" s="111" t="str">
        <x:v>QA, security, private beta, and launch</x:v>
      </x:c>
      <x:c r="D9" s="111" t="str">
        <x:v>Deterministic E2E</x:v>
      </x:c>
      <x:c r="E9" s="111" t="str">
        <x:v>Make promotion material E2E independent of calendar date</x:v>
      </x:c>
      <x:c r="F9" s="111" t="str">
        <x:v>In Review</x:v>
      </x:c>
      <x:c r="G9" s="111" t="str">
        <x:v>Engineering</x:v>
      </x:c>
      <x:c r="H9" s="111" t="str">
        <x:v>Fresh CI</x:v>
      </x:c>
      <x:c r="I9" s="111" t="str">
        <x:v>Keep the Playwright test clock fixed before navigation so active-promotion fixtures do not expire with wall time.</x:v>
      </x:c>
      <x:c r="J9" s="112" t="n">
        <x:v>46259.666666666664</x:v>
      </x:c>
      <x:c r="K9" s="111" t="str">
        <x:v>https://github.com/QK-Connoisseur/PDoki/pull/13</x:v>
      </x:c>
      <x:c r="L9" s="112" t="n">
        <x:v>46255.666666666664</x:v>
      </x:c>
    </x:row>
  </x:sheetData>
  <x:mergeCells>
    <x:mergeCell ref="A1:L1"/>
    <x:mergeCell ref="A2:L2"/>
  </x:mergeCells>
  <x:conditionalFormatting sqref="F4:F9">
    <x:cfRule type="containsText" dxfId="1" priority="1" operator="containsText" text="Done"/>
    <x:cfRule type="containsText" dxfId="5" priority="2" operator="containsText" text="In Progress"/>
    <x:cfRule type="containsText" dxfId="9" priority="3" operator="containsText" text="In Review"/>
    <x:cfRule type="containsText" dxfId="13" priority="4" operator="containsText" text="Blocked"/>
    <x:cfRule type="containsText" dxfId="17" priority="5" operator="containsText" text="Not Started"/>
    <x:cfRule type="containsText" dxfId="21" priority="6" operator="containsText" text="Ready"/>
    <x:cfRule type="containsText" dxfId="25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31b72b6e3a22405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58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1"/>
      <x:c r="K8" s="111"/>
      <x:c r="L8" s="111"/>
    </x:row>
    <x:row r="9" ht="58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1"/>
      <x:c r="K9" s="111"/>
      <x:c r="L9" s="111"/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2" priority="1" operator="containsText" text="Done"/>
    <x:cfRule type="containsText" dxfId="6" priority="2" operator="containsText" text="In Progress"/>
    <x:cfRule type="containsText" dxfId="10" priority="3" operator="containsText" text="In Review"/>
    <x:cfRule type="containsText" dxfId="14" priority="4" operator="containsText" text="Blocked"/>
    <x:cfRule type="containsText" dxfId="18" priority="5" operator="containsText" text="Not Started"/>
    <x:cfRule type="containsText" dxfId="22" priority="6" operator="containsText" text="Ready"/>
    <x:cfRule type="containsText" dxfId="26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5b4d9a8544742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In Review</x:v>
      </x:c>
      <x:c r="G7" s="111" t="str">
        <x:v>Draft PR #13 is open with the fixed canary foundation; merge and deployment remain gated.</x:v>
      </x:c>
      <x:c r="H7" s="111" t="str">
        <x:v>Review the tracker update and fresh exact-head CI, then decide whether to merge.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 t="n">
        <x:v>46226.666666666664</x:v>
      </x:c>
      <x:c r="F8" s="111" t="str">
        <x:v>Blocked</x:v>
      </x:c>
      <x:c r="G8" s="111" t="str">
        <x:v>Local Mailpit and provider-neutral mail exist; production adult-business fit and deliverability remain open.</x:v>
      </x:c>
      <x:c r="H8" s="111" t="str">
        <x:v>Evaluate provider terms, authentication, bounce/complaint handling, retention, and cost.</x:v>
      </x:c>
      <x:c r="I8" s="111" t="str">
        <x:v>https://github.com/QK-Connoisseur/PDoki/tree/dev/docs/operations</x:v>
      </x:c>
      <x:c r="J8" s="112" t="n">
        <x:v>46255.666666666664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LLC attorney/CPA shortlist and entity state</x:v>
      </x:c>
      <x:c r="D9" s="111" t="str">
        <x:v>Founder</x:v>
      </x:c>
      <x:c r="E9" s="112" t="n">
        <x:v>46233.666666666664</x:v>
      </x:c>
      <x:c r="F9" s="111" t="str">
        <x:v>Blocked</x:v>
      </x:c>
      <x:c r="G9" s="111" t="str">
        <x:v>No entity is filed.</x:v>
      </x:c>
      <x:c r="H9" s="111" t="str">
        <x:v>Obtain qualified privacy-focused adult-platform legal and tax advice.</x:v>
      </x:c>
      <x:c r="I9" s="111" t="str"/>
      <x:c r="J9" s="112" t="n">
        <x:v>46255.666666666664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CCBill requirements and fee quote</x:v>
      </x:c>
      <x:c r="D10" s="111" t="str">
        <x:v>Founder</x:v>
      </x:c>
      <x:c r="E10" s="112" t="n">
        <x:v>46233.666666666664</x:v>
      </x:c>
      <x:c r="F10" s="111" t="str">
        <x:v>Blocked</x:v>
      </x:c>
      <x:c r="G10" s="111" t="str">
        <x:v>Merchant application and concrete pricing have not started.</x:v>
      </x:c>
      <x:c r="H10" s="111" t="str">
        <x:v>Request the merchant package, technical documents, and complete fee quote.</x:v>
      </x:c>
      <x:c r="I10" s="111" t="str"/>
      <x:c r="J10" s="112" t="n">
        <x:v>46255.666666666664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Payment, payout, identity, adult-content law, privacy, tax, sanctions, and support coverage remain open.</x:v>
      </x:c>
      <x:c r="H13" s="111" t="str">
        <x:v>Start with the US and only supported Latin American countries after review.</x:v>
      </x:c>
      <x:c r="I13" s="111" t="str"/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Processor fees, chargebacks, reserves, taxes, Founding discounts, payout cadence, and minimum remain undecided.</x:v>
      </x:c>
      <x:c r="H14" s="111" t="str">
        <x:v>Model economics from real processor quotes before publishing terms.</x:v>
      </x:c>
      <x:c r="I14" s="111" t="str"/>
      <x:c r="J14" s="112" t="n">
        <x:v>46255.666666666664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Blocked</x:v>
      </x:c>
      <x:c r="G16" s="111" t="str">
        <x:v>Templates exist, but live restricted origin, verifier, enrollment, testing, and approval do not.</x:v>
      </x:c>
      <x:c r="H16" s="111" t="str">
        <x:v>Approve an isolated identity/access design and local/staging verification slice.</x:v>
      </x:c>
      <x:c r="I16" s="111" t="str">
        <x:v>https://github.com/QK-Connoisseur/PDoki/blob/dev/docs/operations/README.md</x:v>
      </x:c>
      <x:c r="J16" s="112" t="n">
        <x:v>46255.666666666664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Founder</x:v>
      </x:c>
      <x:c r="E18" s="112"/>
      <x:c r="F18" s="111" t="str">
        <x:v>Ready</x:v>
      </x:c>
      <x:c r="G18" s="111" t="str">
        <x:v>The preserved Year 1 total ($1,713) does not reconcile to the visible one-time, annual, and monthly figures; no value was changed.</x:v>
      </x:c>
      <x:c r="H18" s="111" t="str">
        <x:v>Review the intended cost assumptions and authorize a separate expense-formula correction if desired.</x:v>
      </x:c>
      <x:c r="I18" s="111" t="str"/>
      <x:c r="J18" s="112" t="n">
        <x:v>46255.666666666664</x:v>
      </x:c>
    </x:row>
  </x:sheetData>
  <x:mergeCells>
    <x:mergeCell ref="A1:J1"/>
    <x:mergeCell ref="A2:J2"/>
  </x:mergeCells>
  <x:conditionalFormatting sqref="F4:F18">
    <x:cfRule type="containsText" dxfId="3" priority="1" operator="containsText" text="Done"/>
    <x:cfRule type="containsText" dxfId="7" priority="2" operator="containsText" text="In Progress"/>
    <x:cfRule type="containsText" dxfId="11" priority="3" operator="containsText" text="In Review"/>
    <x:cfRule type="containsText" dxfId="15" priority="4" operator="containsText" text="Blocked"/>
    <x:cfRule type="containsText" dxfId="19" priority="5" operator="containsText" text="Not Started"/>
    <x:cfRule type="containsText" dxfId="23" priority="6" operator="containsText" text="Ready"/>
    <x:cfRule type="containsText" dxfId="2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048690bc2e412d"/>
  </x:tableParts>
</x:worksheet>
</file>