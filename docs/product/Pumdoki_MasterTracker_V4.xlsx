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F:\Pumdoki\Claude-Pumdoki\pumdoki-home-final-v2\pumdoki-home-final-v2\docs\product\"/>
    </mc:Choice>
  </mc:AlternateContent>
  <xr:revisionPtr revIDLastSave="0" documentId="13_ncr:1_{D04661BE-C7F8-4817-8CA0-81F945BA8840}" xr6:coauthVersionLast="47" xr6:coauthVersionMax="47" xr10:uidLastSave="{00000000-0000-0000-0000-000000000000}"/>
  <bookViews>
    <workbookView xWindow="-120" yWindow="-120" windowWidth="51840" windowHeight="21840" activeTab="8" xr2:uid="{00000000-000D-0000-FFFF-FFFF00000000}"/>
  </bookViews>
  <sheets>
    <sheet name="Overview" sheetId="1" r:id="rId1"/>
    <sheet name="Master Tracker" sheetId="2" r:id="rId2"/>
    <sheet name="Backlog" sheetId="3" r:id="rId3"/>
    <sheet name="Notes &amp; Assumptions" sheetId="4" r:id="rId4"/>
    <sheet name="💸 Expense Tracker" sheetId="5" r:id="rId5"/>
    <sheet name="Legacy Overview 2026-08-16" sheetId="6" r:id="rId6"/>
    <sheet name="Controls" sheetId="7" r:id="rId7"/>
    <sheet name="Phase Roadmap" sheetId="8" r:id="rId8"/>
    <sheet name="Delivery Tracker" sheetId="9" r:id="rId9"/>
    <sheet name="Review &amp; Blocker Queue" sheetId="10" r:id="rId10"/>
    <sheet name="Daily Log" sheetId="11" r:id="rId11"/>
    <sheet name="Decision Register" sheetId="12" r:id="rId12"/>
    <sheet name="Launch Budget" sheetId="13" r:id="rId13"/>
  </sheets>
  <calcPr calcId="191029"/>
</workbook>
</file>

<file path=xl/calcChain.xml><?xml version="1.0" encoding="utf-8"?>
<calcChain xmlns="http://schemas.openxmlformats.org/spreadsheetml/2006/main">
  <c r="C47" i="13" l="1"/>
  <c r="B47" i="13"/>
  <c r="C45" i="13"/>
  <c r="B45" i="13"/>
  <c r="C31" i="13"/>
  <c r="B31" i="13"/>
  <c r="C30" i="13"/>
  <c r="C32" i="13" s="1"/>
  <c r="C33" i="13" s="1"/>
  <c r="B30" i="13"/>
  <c r="B32" i="13" s="1"/>
  <c r="C23" i="13"/>
  <c r="B23" i="13"/>
  <c r="B33" i="13" s="1"/>
  <c r="B11" i="13"/>
  <c r="C9" i="13"/>
  <c r="C11" i="13" s="1"/>
  <c r="B9" i="13"/>
  <c r="C7" i="13"/>
  <c r="B7" i="13"/>
  <c r="K19" i="8"/>
  <c r="J19" i="8"/>
  <c r="I19" i="8"/>
  <c r="H19" i="8"/>
  <c r="F19" i="8"/>
  <c r="E19" i="8"/>
  <c r="K18" i="8"/>
  <c r="K32" i="1" s="1"/>
  <c r="J18" i="8"/>
  <c r="J32" i="1" s="1"/>
  <c r="I18" i="8"/>
  <c r="H18" i="8"/>
  <c r="F18" i="8"/>
  <c r="G18" i="8" s="1"/>
  <c r="G32" i="1" s="1"/>
  <c r="E18" i="8"/>
  <c r="K17" i="8"/>
  <c r="J17" i="8"/>
  <c r="J31" i="1" s="1"/>
  <c r="I17" i="8"/>
  <c r="H17" i="8"/>
  <c r="H31" i="1" s="1"/>
  <c r="F17" i="8"/>
  <c r="E17" i="8"/>
  <c r="K16" i="8"/>
  <c r="K30" i="1" s="1"/>
  <c r="J16" i="8"/>
  <c r="I16" i="8"/>
  <c r="I30" i="1" s="1"/>
  <c r="H16" i="8"/>
  <c r="H30" i="1" s="1"/>
  <c r="F16" i="8"/>
  <c r="E16" i="8"/>
  <c r="K15" i="8"/>
  <c r="J15" i="8"/>
  <c r="J29" i="1" s="1"/>
  <c r="I15" i="8"/>
  <c r="I29" i="1" s="1"/>
  <c r="H15" i="8"/>
  <c r="H29" i="1" s="1"/>
  <c r="F15" i="8"/>
  <c r="F29" i="1" s="1"/>
  <c r="E15" i="8"/>
  <c r="E29" i="1" s="1"/>
  <c r="K14" i="8"/>
  <c r="K28" i="1" s="1"/>
  <c r="J14" i="8"/>
  <c r="J28" i="1" s="1"/>
  <c r="I14" i="8"/>
  <c r="H14" i="8"/>
  <c r="F14" i="8"/>
  <c r="E14" i="8"/>
  <c r="G14" i="8" s="1"/>
  <c r="G28" i="1" s="1"/>
  <c r="K13" i="8"/>
  <c r="J13" i="8"/>
  <c r="I13" i="8"/>
  <c r="H13" i="8"/>
  <c r="H27" i="1" s="1"/>
  <c r="F13" i="8"/>
  <c r="G13" i="8" s="1"/>
  <c r="G27" i="1" s="1"/>
  <c r="E13" i="8"/>
  <c r="E27" i="1" s="1"/>
  <c r="K12" i="8"/>
  <c r="J12" i="8"/>
  <c r="J26" i="1" s="1"/>
  <c r="I12" i="8"/>
  <c r="H12" i="8"/>
  <c r="F12" i="8"/>
  <c r="F26" i="1" s="1"/>
  <c r="E12" i="8"/>
  <c r="E26" i="1" s="1"/>
  <c r="K11" i="8"/>
  <c r="J11" i="8"/>
  <c r="J25" i="1" s="1"/>
  <c r="I11" i="8"/>
  <c r="I25" i="1" s="1"/>
  <c r="H11" i="8"/>
  <c r="H25" i="1" s="1"/>
  <c r="F11" i="8"/>
  <c r="F25" i="1" s="1"/>
  <c r="E11" i="8"/>
  <c r="E25" i="1" s="1"/>
  <c r="K10" i="8"/>
  <c r="K24" i="1" s="1"/>
  <c r="J10" i="8"/>
  <c r="I10" i="8"/>
  <c r="H10" i="8"/>
  <c r="F10" i="8"/>
  <c r="G10" i="8" s="1"/>
  <c r="G24" i="1" s="1"/>
  <c r="E10" i="8"/>
  <c r="E24" i="1" s="1"/>
  <c r="K9" i="8"/>
  <c r="J9" i="8"/>
  <c r="I9" i="8"/>
  <c r="I23" i="1" s="1"/>
  <c r="H9" i="8"/>
  <c r="H23" i="1" s="1"/>
  <c r="F9" i="8"/>
  <c r="G9" i="8" s="1"/>
  <c r="G23" i="1" s="1"/>
  <c r="E9" i="8"/>
  <c r="K8" i="8"/>
  <c r="K22" i="1" s="1"/>
  <c r="J8" i="8"/>
  <c r="I8" i="8"/>
  <c r="I22" i="1" s="1"/>
  <c r="H8" i="8"/>
  <c r="H22" i="1" s="1"/>
  <c r="F8" i="8"/>
  <c r="E8" i="8"/>
  <c r="E22" i="1" s="1"/>
  <c r="K7" i="8"/>
  <c r="K21" i="1" s="1"/>
  <c r="J7" i="8"/>
  <c r="J21" i="1" s="1"/>
  <c r="I7" i="8"/>
  <c r="I21" i="1" s="1"/>
  <c r="H7" i="8"/>
  <c r="H21" i="1" s="1"/>
  <c r="F7" i="8"/>
  <c r="G7" i="8" s="1"/>
  <c r="G21" i="1" s="1"/>
  <c r="E7" i="8"/>
  <c r="E21" i="1" s="1"/>
  <c r="K6" i="8"/>
  <c r="J6" i="8"/>
  <c r="I6" i="8"/>
  <c r="I20" i="1" s="1"/>
  <c r="H6" i="8"/>
  <c r="F6" i="8"/>
  <c r="E6" i="8"/>
  <c r="K5" i="8"/>
  <c r="K19" i="1" s="1"/>
  <c r="J5" i="8"/>
  <c r="I5" i="8"/>
  <c r="I19" i="1" s="1"/>
  <c r="H5" i="8"/>
  <c r="H19" i="1" s="1"/>
  <c r="F5" i="8"/>
  <c r="F19" i="1" s="1"/>
  <c r="E5" i="8"/>
  <c r="E19" i="1" s="1"/>
  <c r="K4" i="8"/>
  <c r="J4" i="8"/>
  <c r="I4" i="8"/>
  <c r="I18" i="1" s="1"/>
  <c r="H4" i="8"/>
  <c r="F4" i="8"/>
  <c r="E4" i="8"/>
  <c r="E18" i="1" s="1"/>
  <c r="B8" i="6"/>
  <c r="B7" i="6"/>
  <c r="E6" i="6"/>
  <c r="B6" i="6"/>
  <c r="E5" i="6"/>
  <c r="B5" i="6"/>
  <c r="B9" i="6" s="1"/>
  <c r="B37" i="5"/>
  <c r="B35" i="5"/>
  <c r="B34" i="5"/>
  <c r="B33" i="5"/>
  <c r="B36" i="5" s="1"/>
  <c r="B39" i="5" s="1"/>
  <c r="N32" i="1"/>
  <c r="M32" i="1"/>
  <c r="L32" i="1"/>
  <c r="I32" i="1"/>
  <c r="H32" i="1"/>
  <c r="E32" i="1"/>
  <c r="D32" i="1"/>
  <c r="C32" i="1"/>
  <c r="B32" i="1"/>
  <c r="A32" i="1"/>
  <c r="N31" i="1"/>
  <c r="M31" i="1"/>
  <c r="L31" i="1"/>
  <c r="K31" i="1"/>
  <c r="I31" i="1"/>
  <c r="F31" i="1"/>
  <c r="E31" i="1"/>
  <c r="D31" i="1"/>
  <c r="C31" i="1"/>
  <c r="B31" i="1"/>
  <c r="A31" i="1"/>
  <c r="N30" i="1"/>
  <c r="M30" i="1"/>
  <c r="L30" i="1"/>
  <c r="J30" i="1"/>
  <c r="F30" i="1"/>
  <c r="E30" i="1"/>
  <c r="D30" i="1"/>
  <c r="C30" i="1"/>
  <c r="B30" i="1"/>
  <c r="A30" i="1"/>
  <c r="N29" i="1"/>
  <c r="M29" i="1"/>
  <c r="L29" i="1"/>
  <c r="K29" i="1"/>
  <c r="D29" i="1"/>
  <c r="C29" i="1"/>
  <c r="B29" i="1"/>
  <c r="A29" i="1"/>
  <c r="N28" i="1"/>
  <c r="M28" i="1"/>
  <c r="L28" i="1"/>
  <c r="I28" i="1"/>
  <c r="H28" i="1"/>
  <c r="F28" i="1"/>
  <c r="E28" i="1"/>
  <c r="D28" i="1"/>
  <c r="C28" i="1"/>
  <c r="B28" i="1"/>
  <c r="A28" i="1"/>
  <c r="N27" i="1"/>
  <c r="M27" i="1"/>
  <c r="L27" i="1"/>
  <c r="K27" i="1"/>
  <c r="J27" i="1"/>
  <c r="I27" i="1"/>
  <c r="F27" i="1"/>
  <c r="D27" i="1"/>
  <c r="C27" i="1"/>
  <c r="B27" i="1"/>
  <c r="A27" i="1"/>
  <c r="N26" i="1"/>
  <c r="M26" i="1"/>
  <c r="L26" i="1"/>
  <c r="K26" i="1"/>
  <c r="I26" i="1"/>
  <c r="H26" i="1"/>
  <c r="D26" i="1"/>
  <c r="C26" i="1"/>
  <c r="B26" i="1"/>
  <c r="A26" i="1"/>
  <c r="N25" i="1"/>
  <c r="M25" i="1"/>
  <c r="L25" i="1"/>
  <c r="K25" i="1"/>
  <c r="D25" i="1"/>
  <c r="C25" i="1"/>
  <c r="B25" i="1"/>
  <c r="A25" i="1"/>
  <c r="N24" i="1"/>
  <c r="M24" i="1"/>
  <c r="L24" i="1"/>
  <c r="J24" i="1"/>
  <c r="I24" i="1"/>
  <c r="H24" i="1"/>
  <c r="F24" i="1"/>
  <c r="D24" i="1"/>
  <c r="C24" i="1"/>
  <c r="B24" i="1"/>
  <c r="A24" i="1"/>
  <c r="N23" i="1"/>
  <c r="M23" i="1"/>
  <c r="L23" i="1"/>
  <c r="K23" i="1"/>
  <c r="J23" i="1"/>
  <c r="F23" i="1"/>
  <c r="E23" i="1"/>
  <c r="D23" i="1"/>
  <c r="C23" i="1"/>
  <c r="B23" i="1"/>
  <c r="A23" i="1"/>
  <c r="N22" i="1"/>
  <c r="M22" i="1"/>
  <c r="L22" i="1"/>
  <c r="J22" i="1"/>
  <c r="D22" i="1"/>
  <c r="C22" i="1"/>
  <c r="B22" i="1"/>
  <c r="A22" i="1"/>
  <c r="N21" i="1"/>
  <c r="M21" i="1"/>
  <c r="L21" i="1"/>
  <c r="D21" i="1"/>
  <c r="C21" i="1"/>
  <c r="B21" i="1"/>
  <c r="A21" i="1"/>
  <c r="N20" i="1"/>
  <c r="M20" i="1"/>
  <c r="L20" i="1"/>
  <c r="K20" i="1"/>
  <c r="J20" i="1"/>
  <c r="H20" i="1"/>
  <c r="E20" i="1"/>
  <c r="D20" i="1"/>
  <c r="C20" i="1"/>
  <c r="B20" i="1"/>
  <c r="A20" i="1"/>
  <c r="N19" i="1"/>
  <c r="M19" i="1"/>
  <c r="L19" i="1"/>
  <c r="J19" i="1"/>
  <c r="D19" i="1"/>
  <c r="C19" i="1"/>
  <c r="B19" i="1"/>
  <c r="A19" i="1"/>
  <c r="N18" i="1"/>
  <c r="M18" i="1"/>
  <c r="L18" i="1"/>
  <c r="K18" i="1"/>
  <c r="J18" i="1"/>
  <c r="H18" i="1"/>
  <c r="F18" i="1"/>
  <c r="D18" i="1"/>
  <c r="C18" i="1"/>
  <c r="B18" i="1"/>
  <c r="A18" i="1"/>
  <c r="K13" i="1"/>
  <c r="I13" i="1"/>
  <c r="G13" i="1"/>
  <c r="E13" i="1"/>
  <c r="C13" i="1"/>
  <c r="A13" i="1"/>
  <c r="G15" i="8" l="1"/>
  <c r="G29" i="1" s="1"/>
  <c r="G19" i="8"/>
  <c r="G8" i="8"/>
  <c r="G22" i="1" s="1"/>
  <c r="G11" i="8"/>
  <c r="G25" i="1" s="1"/>
  <c r="F21" i="1"/>
  <c r="G16" i="8"/>
  <c r="G30" i="1" s="1"/>
  <c r="M13" i="1"/>
  <c r="G17" i="8"/>
  <c r="G31" i="1" s="1"/>
  <c r="G4" i="8"/>
  <c r="G18" i="1" s="1"/>
  <c r="G6" i="8"/>
  <c r="G20" i="1" s="1"/>
  <c r="F22" i="1"/>
  <c r="C35" i="13"/>
  <c r="C36" i="13" s="1"/>
  <c r="C8" i="13" s="1"/>
  <c r="C13" i="13" s="1"/>
  <c r="B35" i="13"/>
  <c r="B36" i="13" s="1"/>
  <c r="B8" i="13" s="1"/>
  <c r="B13" i="13" s="1"/>
  <c r="F32" i="1"/>
  <c r="F20" i="1"/>
  <c r="G5" i="8"/>
  <c r="G19" i="1" s="1"/>
  <c r="G12" i="8"/>
  <c r="G26" i="1" s="1"/>
  <c r="B15" i="13" l="1"/>
  <c r="B14" i="13"/>
  <c r="C15" i="13"/>
  <c r="C14" i="13"/>
</calcChain>
</file>

<file path=xl/sharedStrings.xml><?xml version="1.0" encoding="utf-8"?>
<sst xmlns="http://schemas.openxmlformats.org/spreadsheetml/2006/main" count="4186" uniqueCount="1774">
  <si>
    <t>🌸  PUMDOKI — Master Build Checklist</t>
  </si>
  <si>
    <t>A space for creators, members, and real interaction.</t>
  </si>
  <si>
    <t>Phase / Item</t>
  </si>
  <si>
    <t>Description</t>
  </si>
  <si>
    <t>Status</t>
  </si>
  <si>
    <t>Notes</t>
  </si>
  <si>
    <t>🎯  PHASE 1 — Strategy &amp; Scope</t>
  </si>
  <si>
    <t>Define core value proposition</t>
  </si>
  <si>
    <t>Lock the core promise for creators, members, and interaction.</t>
  </si>
  <si>
    <t>✅ Done</t>
  </si>
  <si>
    <t>Positioning: 'A space for creators, members, and real interaction.'</t>
  </si>
  <si>
    <t>Lock MVP scope</t>
  </si>
  <si>
    <t>Subscriptions-first, NSFW at launch. Confirm what is excluded from v1.</t>
  </si>
  <si>
    <t>MVP scope set.</t>
  </si>
  <si>
    <t>Document post-MVP delays</t>
  </si>
  <si>
    <t>Keep live streaming, advanced chat, tipping, PPV, analytics, rec engine, extra themes, gamification out of MVP.</t>
  </si>
  <si>
    <t>MVP vs later items distinguished.</t>
  </si>
  <si>
    <t>Convert roadmap into phase plan</t>
  </si>
  <si>
    <t>Break work into design, build, test, beta, and launch phases.</t>
  </si>
  <si>
    <t>Set launch KPIs</t>
  </si>
  <si>
    <t>Define targets: creators onboarded, paid members, conversion, retention, bug rate.</t>
  </si>
  <si>
    <t>📋 Not Started</t>
  </si>
  <si>
    <t>Needed before beta/public launch.</t>
  </si>
  <si>
    <t>⚖️  PHASE 2 — Legal &amp; Compliance</t>
  </si>
  <si>
    <t>Draft Terms of Service</t>
  </si>
  <si>
    <t>Prepare terms governing platform use, NSFW content rules, user responsibilities, dispute resolution.</t>
  </si>
  <si>
    <t>🔄 In Progress</t>
  </si>
  <si>
    <t>Must exist before launch.</t>
  </si>
  <si>
    <t>Draft Privacy Policy</t>
  </si>
  <si>
    <t>Data collection, cookies, third-party sharing, CCPA/GDPR rights, data retention.</t>
  </si>
  <si>
    <t>Privacy layers discussed; formal draft needed.</t>
  </si>
  <si>
    <t>Draft Community / Platform Rules</t>
  </si>
  <si>
    <t>State permitted and prohibited activity clearly for creators and members.</t>
  </si>
  <si>
    <t>Required for moderation consistency.</t>
  </si>
  <si>
    <t>Draft Acceptable Use Policy</t>
  </si>
  <si>
    <t>No minors, no non-consensual content, no illegal material, no harassment.</t>
  </si>
  <si>
    <t>Separates from ToS for clarity and enforcement.</t>
  </si>
  <si>
    <t>Create DMCA Policy &amp; Takedown Process</t>
  </si>
  <si>
    <t>Copyright reporting form, designated agent, response procedures (17 USC §512).</t>
  </si>
  <si>
    <t>Required for content platforms.</t>
  </si>
  <si>
    <t>Implement 18 USC §2257 Recordkeeping</t>
  </si>
  <si>
    <t>Maintain age verification records for performers in sexually explicit content. Display §2257 compliance statement.</t>
  </si>
  <si>
    <t>Federal requirement for adult content platforms.</t>
  </si>
  <si>
    <t>Draft Cookie Policy &amp; Consent Banner</t>
  </si>
  <si>
    <t>Disclose cookie usage, purposes, opt-out. Implement consent UI (required for GDPR/ePrivacy).</t>
  </si>
  <si>
    <t>Required for EU visitors; best practice globally.</t>
  </si>
  <si>
    <t>Implement GDPR Compliance</t>
  </si>
  <si>
    <t>Right to access, deletion, data portability, consent management, DPA with processors.</t>
  </si>
  <si>
    <t>Required if serving EU users.</t>
  </si>
  <si>
    <t>Implement CCPA/CPRA Compliance</t>
  </si>
  <si>
    <t>'Do Not Sell' opt-out, privacy notice for CA residents, data deletion requests.</t>
  </si>
  <si>
    <t>Required if serving California users.</t>
  </si>
  <si>
    <t>Prepare Payment Provider Compliance Package</t>
  </si>
  <si>
    <t>Document policies/controls required by CCBill and Epoch for merchant onboarding.</t>
  </si>
  <si>
    <t>Draft Creator Agreement / Payout Terms</t>
  </si>
  <si>
    <t>Creator obligations: content ownership, tax (W-9/W-8BEN), payout terms, prohibited content.</t>
  </si>
  <si>
    <t>Needed before creator onboarding.</t>
  </si>
  <si>
    <t>Implement Visa/Mastercard BRAM Compliance</t>
  </si>
  <si>
    <t>Meet Brand Risk and Acquirer Monitoring requirements for adult merchants.</t>
  </si>
  <si>
    <t>Card network requirement for adult sites.</t>
  </si>
  <si>
    <t>Finalize Trademark Filing Plan</t>
  </si>
  <si>
    <t>Trademark timing/classes already considered.</t>
  </si>
  <si>
    <t>Finalize Domain Management</t>
  </si>
  <si>
    <t>Secure primary domains and variants (.com, .net, etc.).</t>
  </si>
  <si>
    <t>Domain strategy already considered.</t>
  </si>
  <si>
    <t>Address MD Business Registration Privacy</t>
  </si>
  <si>
    <t>Manage privacy concerns — MD biz records may expose personal identity linked to NSFW platform.</t>
  </si>
  <si>
    <t>Implement Accessibility Basics (ADA/WCAG)</t>
  </si>
  <si>
    <t>Alt text, keyboard navigation, contrast ratios, screen reader compatibility.</t>
  </si>
  <si>
    <t>Best practice; reduces legal risk.</t>
  </si>
  <si>
    <t>Draft Anti-Human Trafficking Policy</t>
  </si>
  <si>
    <t>Prohibit trafficking, exploitation, coercive content. Include reporting mechanisms and creator guidance.</t>
  </si>
  <si>
    <t>Draft Non-Consensual Content Policy</t>
  </si>
  <si>
    <t>Standalone policy prohibiting NCII. Define removal process, reporting path, and creator obligations.</t>
  </si>
  <si>
    <t>Must be its own doc for payment processor and Visa/MC BRAM review.</t>
  </si>
  <si>
    <t>Implement US Take It Down Act Compliance</t>
  </si>
  <si>
    <t>Written policy + removal workflow for non-consensual intimate images. Must action valid removal within 48 hours.</t>
  </si>
  <si>
    <t>Federal law signed 2025. Non-compliance is a federal offense.</t>
  </si>
  <si>
    <t>Draft Law Enforcement Request Policy</t>
  </si>
  <si>
    <t>Define process for handling government and LEA data requests — disclosure, legal basis, user notification.</t>
  </si>
  <si>
    <t>Commonly reviewed during CCBill/Epoch onboarding.</t>
  </si>
  <si>
    <t>Draft Appeals Policy</t>
  </si>
  <si>
    <t>Documented process for creators and members to appeal content removals, account suspensions, or payment holds.</t>
  </si>
  <si>
    <t>Needed before creator onboarding begins.</t>
  </si>
  <si>
    <t>Draft Complaint Policy</t>
  </si>
  <si>
    <t>Formal intake process for user complaints beyond DMCA — billing disputes, harassment, platform conduct.</t>
  </si>
  <si>
    <t>Best practice globally; supports EU DSA/P2B compliance.</t>
  </si>
  <si>
    <t>Draft Anti-Spam Policy</t>
  </si>
  <si>
    <t>Rules governing creator messaging to members, platform notifications, and marketing emails.</t>
  </si>
  <si>
    <t>Needed before the email/notification system goes live.</t>
  </si>
  <si>
    <t>Draft Platform-to-Business (P2B) Terms</t>
  </si>
  <si>
    <t>EU P2B regulation disclosure for creators — ranking criteria, access termination conditions, dispute options.</t>
  </si>
  <si>
    <t>Conditional on EU launch scope. Low effort to draft.</t>
  </si>
  <si>
    <t>🎨  PHASE 3 — Brand &amp; Design</t>
  </si>
  <si>
    <t>Finalize brand aesthetic &amp; color system</t>
  </si>
  <si>
    <t>Confirm pink / sakura visual direction and supporting palette.</t>
  </si>
  <si>
    <t>Brand direction established.</t>
  </si>
  <si>
    <t>Finalize logo / wordmark</t>
  </si>
  <si>
    <t>Lock minimal premium wordmark. Symbol: heart + sakura petal + heartbeat + rounded sans-serif.</t>
  </si>
  <si>
    <t>Direction exists; final asset lock not confirmed.</t>
  </si>
  <si>
    <t>Finalize homepage messaging</t>
  </si>
  <si>
    <t>Polish hero copy, value prop, marketing text. Avoid 'Softer'; feel inclusive, not creator-first.</t>
  </si>
  <si>
    <t>Draft messaging exists; final copy not confirmed.</t>
  </si>
  <si>
    <t>Define creator theme ladders</t>
  </si>
  <si>
    <t>Floral: Petal→Bloom→Sakura→Golden Sakura→Eternal Sakura. Ember: Ember→Ignite→Flare→Inferno→Eternal Flame.</t>
  </si>
  <si>
    <t>Theme ladder concepts defined.</t>
  </si>
  <si>
    <t>Build reusable design system</t>
  </si>
  <si>
    <t>Buttons, cards, tabs, modals, badges, pricing modules, feed cards, locked-content previews.</t>
  </si>
  <si>
    <t>Implied by active UI/front-end development.</t>
  </si>
  <si>
    <t>Finalize responsive / mobile layouts</t>
  </si>
  <si>
    <t>Ensure primary flows work cleanly on mobile and desktop.</t>
  </si>
  <si>
    <t>Design Founding Creator / Member badge program</t>
  </si>
  <si>
    <t>Define badge visuals, eligibility window (first N users or date window), locked-in fee reduction for Founding Creators, badge display on profiles and posts.</t>
  </si>
  <si>
    <t>First 500 creators get permanent Founding Creator badge + reduced platform commission. First 500 members get Founding Member badge + discount. Drives early community loyalty.</t>
  </si>
  <si>
    <t>🏗️  PHASE 4 — Backend &amp; Infrastructure</t>
  </si>
  <si>
    <t>Define AWS architecture</t>
  </si>
  <si>
    <t>EC2/ECS for app, RDS PostgreSQL for DB, Cloudflare R2 for media storage/CDN.</t>
  </si>
  <si>
    <t>AWS (app/DB) + Cloudflare R2 (media) confirmed.</t>
  </si>
  <si>
    <t>Set up Cloudflare R2 media storage</t>
  </si>
  <si>
    <t>Define RDS PostgreSQL schema</t>
  </si>
  <si>
    <t>Set up local / staging / prod environments</t>
  </si>
  <si>
    <t>Separate environments, secrets handling, .env management.</t>
  </si>
  <si>
    <t>Define API structure</t>
  </si>
  <si>
    <t>Map endpoints: auth, content, subscriptions, payments, moderation, admin, notifications.</t>
  </si>
  <si>
    <t>Implement logging &amp; monitoring</t>
  </si>
  <si>
    <t>Error tracking, structured logs, operational visibility (CloudWatch, Sentry).</t>
  </si>
  <si>
    <t>Implement backups &amp; recovery plan</t>
  </si>
  <si>
    <t>Automated RDS snapshots, R2 versioning, disaster recovery.</t>
  </si>
  <si>
    <t>Required for production readiness.</t>
  </si>
  <si>
    <t>Add rate limiting &amp; abuse protection</t>
  </si>
  <si>
    <t>Anti-scraping, anti-spam, brute-force protection, credential abuse.</t>
  </si>
  <si>
    <t>Set up CI/CD pipeline</t>
  </si>
  <si>
    <t>Automate testing and deployment from Git branches to staging/production.</t>
  </si>
  <si>
    <t>Configure SSL/TLS &amp; domain DNS</t>
  </si>
  <si>
    <t>HTTPS everywhere, DNS records, certificate management.</t>
  </si>
  <si>
    <t>Required for production.</t>
  </si>
  <si>
    <t>🔐  PHASE 5 — Accounts, Auth &amp; Roles</t>
  </si>
  <si>
    <t>Implement account creation &amp; login/logout</t>
  </si>
  <si>
    <t>Create working auth flows, not just screens.</t>
  </si>
  <si>
    <t>Implement creator/member/admin roles</t>
  </si>
  <si>
    <t>Role-based permissions and access boundaries.</t>
  </si>
  <si>
    <t>Implement session management</t>
  </si>
  <si>
    <t>Signed-in state, token/session renewal, logout behavior.</t>
  </si>
  <si>
    <t>Build onboarding flows</t>
  </si>
  <si>
    <t>First-run setup for creators (incl. theme selection: Floral/Ember) and members.</t>
  </si>
  <si>
    <t>Add 18+ entry gate &amp; age verification</t>
  </si>
  <si>
    <t>Consent gating and age/compliance checks at platform entry.</t>
  </si>
  <si>
    <t>Implement email verification</t>
  </si>
  <si>
    <t>Require email confirmation for new accounts.</t>
  </si>
  <si>
    <t>Implement password reset flow</t>
  </si>
  <si>
    <t>Secure forgot-password and recovery process.</t>
  </si>
  <si>
    <t>💻  PHASE 6 — Frontend &amp; UX</t>
  </si>
  <si>
    <t>Build homepage (logged-in feed)</t>
  </si>
  <si>
    <t>Implement the main logged-in home experience with heart story rail and Following/For You tabs.</t>
  </si>
  <si>
    <t>Feed page designed with heart rail and tab system. Functional layout confirmed.</t>
  </si>
  <si>
    <t>Build landing page</t>
  </si>
  <si>
    <t>Public-facing marketing/conversion page for new visitors.</t>
  </si>
  <si>
    <t>Auth/landing split screen complete. Raining hearts animation working. +18 checkbox present.</t>
  </si>
  <si>
    <t>Build creator profile pages</t>
  </si>
  <si>
    <t>Public creator profiles with plans, content previews, tier display, services tab, highlights.</t>
  </si>
  <si>
    <t>Profile page designed. Services tab, heart highlights, subscribe button visible.</t>
  </si>
  <si>
    <t>Build feed / discovery page</t>
  </si>
  <si>
    <t>Hybrid discovery feed: For You + Following tabs, heart story rail.</t>
  </si>
  <si>
    <t>Heart rail + Following/For You hybrid implemented in design.</t>
  </si>
  <si>
    <t>Build subscription / pricing page</t>
  </si>
  <si>
    <t>Tier display: Standard (Doki 1–3), Premium (Super Doki 1–2), Ultimate (Doki Legend).</t>
  </si>
  <si>
    <t>Part of the active front-end build.</t>
  </si>
  <si>
    <t>Build login / signup screens</t>
  </si>
  <si>
    <t>Account entry screens for creators and members.</t>
  </si>
  <si>
    <t>Implement story rail / For You model</t>
  </si>
  <si>
    <t>Translate the interaction/feed architecture into actual UI behavior.</t>
  </si>
  <si>
    <t>Implement locked-content previews</t>
  </si>
  <si>
    <t>Teasers and premium access states in cards and posts.</t>
  </si>
  <si>
    <t>Implement membership tier modules</t>
  </si>
  <si>
    <t>Doki / SuperDoki / Doki Legend plan modules on creator pages.</t>
  </si>
  <si>
    <t>Build Store page</t>
  </si>
  <si>
    <t>Pumdoki Store front-end (Git branch: Store).</t>
  </si>
  <si>
    <t>Build Connect page</t>
  </si>
  <si>
    <t>Social discovery front-end for session bookings (E-Chat, Voice Call, Video Call, Game With Me).</t>
  </si>
  <si>
    <t>Build Chat UI</t>
  </si>
  <si>
    <t>Implement NSFW +18 content toggle</t>
  </si>
  <si>
    <t>Build settings page</t>
  </si>
  <si>
    <t>Build help / support page</t>
  </si>
  <si>
    <t>Basic FAQ page with accordion answers + simple contact/support form routed to founder inbox.</t>
  </si>
  <si>
    <t>Plain and functional for MVP. Expands post-launch.</t>
  </si>
  <si>
    <t>Build 'Your Activity' page</t>
  </si>
  <si>
    <t>Improve Create Post ('Moments') modal</t>
  </si>
  <si>
    <t>Replace generic 'What's on your mind?' with Pumdoki-voice copy. Add locked/subscriber-only content state. Improve layout and brand feel.</t>
  </si>
  <si>
    <t>Basic modal exists. Needs Pumdoki language, locked content toggle, and improved visual polish.</t>
  </si>
  <si>
    <t>Improve side navigation drawer</t>
  </si>
  <si>
    <t>Make drawer slightly larger and use darker, more vibrant colors. Currently blends too much into the background — needs presence like Instagram's nav.</t>
  </si>
  <si>
    <t>Drawer functional but visually weak. Increase icon size, darken colors, improve active state.</t>
  </si>
  <si>
    <t>Fix chat: offline avatar + notification badge</t>
  </si>
  <si>
    <t>Show creator offline avatar/indicator when creator is offline. Show unread notification badge on minimized chat. Currently missing both.</t>
  </si>
  <si>
    <t>Chat functional but missing offline state and notification badge on minimized view.</t>
  </si>
  <si>
    <t>Build creator dashboard UI</t>
  </si>
  <si>
    <t>Creator-facing analytics dashboard: revenue chart, active subscribers, profile visits, live activity feed, revenue by source, top performing posts, top fans, quick actions.</t>
  </si>
  <si>
    <t>Improve landing page posts visuals</t>
  </si>
  <si>
    <t xml:space="preserve">Add a checkmark, a follow buttom, re-arrenge For You / Following and flip sides, add logic to For You (X inspired), </t>
  </si>
  <si>
    <t>Post visual already in place. Need to add more features and complex logic to the For You page</t>
  </si>
  <si>
    <t>📸  PHASE 7 — Content &amp; Media</t>
  </si>
  <si>
    <t>Define post / content model</t>
  </si>
  <si>
    <t>Creator posting, visibility flags (public/subscriber/tier-locked), member access rules.</t>
  </si>
  <si>
    <t>Core content object needs build.</t>
  </si>
  <si>
    <t>Build media upload pipeline</t>
  </si>
  <si>
    <t>Image/video upload → Cloudflare R2 storage → signed URL delivery.</t>
  </si>
  <si>
    <t>Launch-critical capability.</t>
  </si>
  <si>
    <t>Define public vs private asset rules</t>
  </si>
  <si>
    <t>Separate teaser, paid, and internal assets with signed URL gating.</t>
  </si>
  <si>
    <t>Needed for secure access gating.</t>
  </si>
  <si>
    <t>Implement media optimization</t>
  </si>
  <si>
    <t>Compress/transcode images and video (thumbnails, adaptive quality).</t>
  </si>
  <si>
    <t>Needed for smoother UX.</t>
  </si>
  <si>
    <t>Implement watermarking / content protection</t>
  </si>
  <si>
    <t>Visible + invisible watermarks to reduce re-sharing risk.</t>
  </si>
  <si>
    <t>Protection planning in scope.</t>
  </si>
  <si>
    <t>Build moderation review flow</t>
  </si>
  <si>
    <t>Flagged items reviewed and actioned by admin.</t>
  </si>
  <si>
    <t>Required for platform operations.</t>
  </si>
  <si>
    <t>💰  PHASE 8 — Payments &amp; Monetization</t>
  </si>
  <si>
    <t>Integrate CCBill (primary processor)</t>
  </si>
  <si>
    <t>Set up merchant account, API integration, webhook handling, subscription billing.</t>
  </si>
  <si>
    <t>Integrate Epoch (cascade fallback)</t>
  </si>
  <si>
    <t>Set up Epoch as secondary for transactions CCBill declines.</t>
  </si>
  <si>
    <t>Build payment cascading logic</t>
  </si>
  <si>
    <t>Route failed CCBill transactions automatically to Epoch before returning decline.</t>
  </si>
  <si>
    <t>Implement recurring subscription billing</t>
  </si>
  <si>
    <t>Create the actual subscription/payment flow through CCBill/Epoch.</t>
  </si>
  <si>
    <t>Build renewal / cancel logic</t>
  </si>
  <si>
    <t>Recurring billing state changes, grace periods, cancellations.</t>
  </si>
  <si>
    <t>Needed for subscription lifecycle.</t>
  </si>
  <si>
    <t>Tie access gating to subscription status</t>
  </si>
  <si>
    <t>Grant/revoke content access based on active payment state and tier.</t>
  </si>
  <si>
    <t>Critical premium access control.</t>
  </si>
  <si>
    <t>Define creator payouts flow</t>
  </si>
  <si>
    <t>Payout cadence (weekly/biweekly), ledger logic, minimums, admin handling.</t>
  </si>
  <si>
    <t>Needed once monetization is live.</t>
  </si>
  <si>
    <t>Define platform commission model</t>
  </si>
  <si>
    <t>Fee structure: platform take rate, creator share, member economics. Founding Creator exception rate must be defined.</t>
  </si>
  <si>
    <t>Implement chargeback &amp; dispute workflow</t>
  </si>
  <si>
    <t>Track chargebacks from CCBill/Epoch, alert admin, manage dispute responses.</t>
  </si>
  <si>
    <t>Plan crypto payment integration</t>
  </si>
  <si>
    <t>Research USDT/BTC path. Evaluate self-hosted vs third-party (NowPayments, PayRam).</t>
  </si>
  <si>
    <t>Deferred; planned as future payment rail.</t>
  </si>
  <si>
    <t>🛡️  PHASE 9 — Admin Dashboard &amp; Moderation</t>
  </si>
  <si>
    <t>Build admin overview / operations page</t>
  </si>
  <si>
    <t>Operational snapshot: total users, new signups today, active creators, revenue (gross/net), payout queue, content mod queue count, active flags.</t>
  </si>
  <si>
    <t>First page you see when logging into admin. Keeps you informed at a glance.</t>
  </si>
  <si>
    <t>Build users &amp; creators admin table</t>
  </si>
  <si>
    <t>Searchable table of all accounts. Filter by role (member/creator/admin). View status, join date, spend, earnings. Actions: warn, suspend, ban, verify.</t>
  </si>
  <si>
    <t>Core operational tool. Needed for day-1 operations.</t>
  </si>
  <si>
    <t>Build creator verification &amp; onboarding queue</t>
  </si>
  <si>
    <t>Review incoming creator applications. View submitted ID documents. Approve or reject. Log decision with reason. Trigger creator onboarding email.</t>
  </si>
  <si>
    <t>Build content moderation queue</t>
  </si>
  <si>
    <t>Queue of all flagged content sorted by severity. Actions: approve, remove, warn creator, escalate. Show content type, creator, flag reason, reporter.</t>
  </si>
  <si>
    <t>Especially important for NSFW operations. Will be high-volume once platform grows.</t>
  </si>
  <si>
    <t>Build reports handling workflow</t>
  </si>
  <si>
    <t>Route user/content reports into admin triage with severity levels (High / Medium / Low). Show open report count, type, and age.</t>
  </si>
  <si>
    <t>Needed for safety and operations.</t>
  </si>
  <si>
    <t>Build payments &amp; payouts admin view</t>
  </si>
  <si>
    <t>View all transactions, subscription events, payout queue. Manually trigger or block payouts. View CCBill/Epoch transaction IDs. Filter by date, creator, status.</t>
  </si>
  <si>
    <t>Build chargeback alert dashboard</t>
  </si>
  <si>
    <t>Build Founding Badge admin management</t>
  </si>
  <si>
    <t>View list of Founding Creators and Founding Members. Track how many slots remain. Assign or revoke badge manually if needed. Show badge count against cap.</t>
  </si>
  <si>
    <t>Required to manage the founder badge program. Badge count cap enforced here.</t>
  </si>
  <si>
    <t>Build admin platform settings panel</t>
  </si>
  <si>
    <t>Configure: platform commission rate, Founding Creator commission rate, NSFW content flags, feature flags (enable/disable features), payout minimums, maintenance mode.</t>
  </si>
  <si>
    <t>Gives you control over live platform behavior without code deploys.</t>
  </si>
  <si>
    <t>Implement 2257 compliance records admin</t>
  </si>
  <si>
    <t>View and manage age verification records submitted by creators. Link each creator to their ID verification doc. Must be accessible on demand for compliance audits.</t>
  </si>
  <si>
    <t>Federal requirement. Must be in place before any adult content goes live.</t>
  </si>
  <si>
    <t>Implement audit log</t>
  </si>
  <si>
    <t>Track all admin actions with timestamp, admin user, action type, and affected entity. Immutable log — no deleting entries.</t>
  </si>
  <si>
    <t>📊  PHASE 10 — Analytics, Support &amp; Notifications</t>
  </si>
  <si>
    <t>Define analytics event tracking</t>
  </si>
  <si>
    <t>Track signups, subscriptions, content views, conversions, churn signals.</t>
  </si>
  <si>
    <t>Build launch KPI dashboard</t>
  </si>
  <si>
    <t>Lightweight internal reporting view for admin.</t>
  </si>
  <si>
    <t>Needed to monitor launch health.</t>
  </si>
  <si>
    <t>Set up support / contact workflow</t>
  </si>
  <si>
    <t>Route issues to a manageable inbox (email-based initially).</t>
  </si>
  <si>
    <t>Needed for operational readiness.</t>
  </si>
  <si>
    <t>Create FAQ / help center content</t>
  </si>
  <si>
    <t>Common setup, billing, and policy answers.</t>
  </si>
  <si>
    <t>Useful before public launch.</t>
  </si>
  <si>
    <t>Implement notifications / email system</t>
  </si>
  <si>
    <t>Transactional emails (welcome, billing, reset) and platform notices via SES or Resend/Postmark.</t>
  </si>
  <si>
    <t>🚀  PHASE 11 — Creator Ops &amp; Go-To-Market</t>
  </si>
  <si>
    <t>Recruit initial creators</t>
  </si>
  <si>
    <t>Secure first launch or beta creators.</t>
  </si>
  <si>
    <t>Needed for a credible launch marketplace.</t>
  </si>
  <si>
    <t>Create creator onboarding docs</t>
  </si>
  <si>
    <t>How-to for setup, posting, pricing, tier themes, and policy.</t>
  </si>
  <si>
    <t>Helpful for beta and early launch.</t>
  </si>
  <si>
    <t>Define beta member invite list</t>
  </si>
  <si>
    <t>Choose initial users to test flows.</t>
  </si>
  <si>
    <t>Needed for private beta.</t>
  </si>
  <si>
    <t>Build waitlist / lead capture</t>
  </si>
  <si>
    <t>Collect early interest before public release.</t>
  </si>
  <si>
    <t>Useful for launch momentum.</t>
  </si>
  <si>
    <t>Create social launch content plan</t>
  </si>
  <si>
    <t>Posts, teasers, launch announcements.</t>
  </si>
  <si>
    <t>Needed before public launch.</t>
  </si>
  <si>
    <t>Define referral / affiliate plan</t>
  </si>
  <si>
    <t>Lightweight growth loop for early users.</t>
  </si>
  <si>
    <t>Can be simple but useful.</t>
  </si>
  <si>
    <t>Build Pumdoki Discord Server</t>
  </si>
  <si>
    <t xml:space="preserve">Marketing tool to build audience, recruit our first creators, and create a community. </t>
  </si>
  <si>
    <t>🧪  PHASE 12 — QA, Beta &amp; Launch</t>
  </si>
  <si>
    <t>Build internal QA checklist</t>
  </si>
  <si>
    <t>Turn roadmap into a structured test list.</t>
  </si>
  <si>
    <t>Plan private beta</t>
  </si>
  <si>
    <t>Define who tests, what gets tested, how feedback is captured.</t>
  </si>
  <si>
    <t>Recommended before public launch.</t>
  </si>
  <si>
    <t>Run end-to-end flow testing</t>
  </si>
  <si>
    <t>Test signup → content → subscription → gating → payout → admin.</t>
  </si>
  <si>
    <t>Needed after core build is ready.</t>
  </si>
  <si>
    <t>Run security review</t>
  </si>
  <si>
    <t>Auth, media access, role checks, secrets, signed URLs, abuse risks.</t>
  </si>
  <si>
    <t>Run payment flow testing</t>
  </si>
  <si>
    <t>CCBill → Epoch cascade, subscription lifecycle, renewal, cancel, chargebacks.</t>
  </si>
  <si>
    <t>Prepare soft-launch go/no-go checklist</t>
  </si>
  <si>
    <t>Define criteria for a limited launch.</t>
  </si>
  <si>
    <t>Useful before broad release.</t>
  </si>
  <si>
    <t>Prepare public launch checklist</t>
  </si>
  <si>
    <t>Confirm readiness: product, legal, payments, support, marketing.</t>
  </si>
  <si>
    <t>Final pre-launch checkpoint.</t>
  </si>
  <si>
    <t>Define post-launch bug triage process</t>
  </si>
  <si>
    <t>Severity rules and response rhythm for launch issues.</t>
  </si>
  <si>
    <t>Needed once public users arrive.</t>
  </si>
  <si>
    <t>Feature</t>
  </si>
  <si>
    <t>Category</t>
  </si>
  <si>
    <t>Why Later</t>
  </si>
  <si>
    <t>Priority</t>
  </si>
  <si>
    <t>Note</t>
  </si>
  <si>
    <t>Live streaming</t>
  </si>
  <si>
    <t>Engagement</t>
  </si>
  <si>
    <t>Delay until MVP stability and core monetization proven.</t>
  </si>
  <si>
    <t>Medium</t>
  </si>
  <si>
    <t>Explicitly deferred from MVP.</t>
  </si>
  <si>
    <t>Advanced chat / real-time messaging</t>
  </si>
  <si>
    <t>Tipping</t>
  </si>
  <si>
    <t>Monetization</t>
  </si>
  <si>
    <t>Pay-per-view content</t>
  </si>
  <si>
    <t>Advanced analytics</t>
  </si>
  <si>
    <t>Analytics</t>
  </si>
  <si>
    <t>Add richer creator/member analytics after launch.</t>
  </si>
  <si>
    <t>Recommendation engine</t>
  </si>
  <si>
    <t>Discovery</t>
  </si>
  <si>
    <t>Delay algorithmic rec until enough data exists.</t>
  </si>
  <si>
    <t>Low</t>
  </si>
  <si>
    <t>Design</t>
  </si>
  <si>
    <t>Ship two strong default themes first, then add premium ones.</t>
  </si>
  <si>
    <t>Additional premium themes deferred post-MVP.</t>
  </si>
  <si>
    <t>Heavy gamification (Oasis / Drimys)</t>
  </si>
  <si>
    <t>Crypto payments (USDT/BTC)</t>
  </si>
  <si>
    <t>Planned but deferred until fiat payments proven.</t>
  </si>
  <si>
    <t>Research: self-hosted vs NowPayments/PayRam.</t>
  </si>
  <si>
    <t>Pumdoki Premium (Nitro-style)</t>
  </si>
  <si>
    <t>Banners, medals, badges for any paying user.</t>
  </si>
  <si>
    <t>Similar to Discord Nitro.</t>
  </si>
  <si>
    <t>Creator verification badges</t>
  </si>
  <si>
    <t>Trust &amp; Safety</t>
  </si>
  <si>
    <t>Verified creator program with identity checks.</t>
  </si>
  <si>
    <t>Adds trust; defer until creator base grows.</t>
  </si>
  <si>
    <t>Mobile app (iOS / Android)</t>
  </si>
  <si>
    <t>Platform</t>
  </si>
  <si>
    <t>Native mobile after web platform is stable.</t>
  </si>
  <si>
    <t>High</t>
  </si>
  <si>
    <t>Web-first; mobile later.</t>
  </si>
  <si>
    <t>TikTok paid creator promotions</t>
  </si>
  <si>
    <t>Marketing</t>
  </si>
  <si>
    <t>Requires budget, live product, and something worth promoting. No point driving traffic before launch.</t>
  </si>
  <si>
    <t>Standard influencer marketing strategy. Frame campaigns as 'creator monetization platform' — avoid direct NSFW references to stay within TikTok ad policies. Revisit 1–2 months post-launch once conversion data exists.</t>
  </si>
  <si>
    <t>Kick platform integration / clipping strategy</t>
  </si>
  <si>
    <t>Partnerships</t>
  </si>
  <si>
    <t>Long-term scaling play requiring funding, an established creator base, and platform stability. Not a bootstrapped v1 move.</t>
  </si>
  <si>
    <t>Kick's permissive content policy makes it a natural partner platform long-term. Could drive creator and member acquisition at scale. Requires meaningful budget and an established Pumdoki audience first. Far-future item.</t>
  </si>
  <si>
    <t>Live streaming on Creator Dashboard</t>
  </si>
  <si>
    <t>"Re-enable the 'Live Streaming' feature by setting the conditional boolean to true, restoring both the sidebar navigation link and the main view component."</t>
  </si>
  <si>
    <t>Reactivate the livestream feature on the creator Dashboard after it's fully implemented on the website</t>
  </si>
  <si>
    <t>📝  Notes &amp; Assumptions</t>
  </si>
  <si>
    <t>Rule</t>
  </si>
  <si>
    <t>Detail</t>
  </si>
  <si>
    <t>1.0</t>
  </si>
  <si>
    <t>2.0</t>
  </si>
  <si>
    <t>✅ Done = clearly locked in prior planning or confirmed in recent discussions.</t>
  </si>
  <si>
    <t>3.0</t>
  </si>
  <si>
    <t>🔄 In Progress = explicitly underway or being organized/planned.</t>
  </si>
  <si>
    <t>4.0</t>
  </si>
  <si>
    <t>📋 Not Started = required for launch but not confirmed as underway.</t>
  </si>
  <si>
    <t>5.0</t>
  </si>
  <si>
    <t>Master Tracker focuses on MVP/launch needs; the Backlog sheet captures post-MVP features.</t>
  </si>
  <si>
    <t>6.0</t>
  </si>
  <si>
    <t>Upload to Google Sheets for online collaboration — add owners and dates there.</t>
  </si>
  <si>
    <t>7.0</t>
  </si>
  <si>
    <t>Suggested next use: filter by Not Started to decide immediate work.</t>
  </si>
  <si>
    <t>8.0</t>
  </si>
  <si>
    <t>Legal/compliance expanded with 8 additional tasks from LoyalFans March 2026 gap analysis.</t>
  </si>
  <si>
    <t>9.0</t>
  </si>
  <si>
    <t>Admin dashboard (Phase 9) expanded — 13 subtasks covering all operator tools needed for an adult content platform.</t>
  </si>
  <si>
    <t>10.0</t>
  </si>
  <si>
    <t>11.0</t>
  </si>
  <si>
    <t>12.0</t>
  </si>
  <si>
    <t>Founding Creator / Member badge program added to Phase 3 — first 500 creators get reduced commission + permanent badge.</t>
  </si>
  <si>
    <t>🌸 Known Context Captured</t>
  </si>
  <si>
    <t>•</t>
  </si>
  <si>
    <t>Brand: pink/sakura aesthetic. Pearl/off-white on soft sakura pink. Soft, dreamy, intimate, polished, premium.</t>
  </si>
  <si>
    <t>Logo: minimal heart + sakura petal + subtle heartbeat icon + rounded sans-serif wordmark.</t>
  </si>
  <si>
    <t>Motto: 'A space for creators, members, and real interaction.'</t>
  </si>
  <si>
    <t>Tiers: Standard Support (Doki 1, 2, 3), Premium Support (Super Doki 1, 2), Ultimate (Doki Legend).</t>
  </si>
  <si>
    <t>Creator themes: Floral (Petal→Bloom→Sakura→Golden Sakura→Eternal Sakura), Ember (Ember→Ignite→Flare→Inferno→Eternal Flame).</t>
  </si>
  <si>
    <t>Infrastructure: AWS for app layer + RDS PostgreSQL for database.</t>
  </si>
  <si>
    <t>Media storage/CDN: Cloudflare R2 (NSFW-safe, free egress, no restrictive AUP on legal adult content).</t>
  </si>
  <si>
    <t>Future payment rail: Crypto (USDT/BTC) — planned post-MVP.</t>
  </si>
  <si>
    <t>Pumdoki Premium: banners, medals, badges — like Discord Nitro, open to any paying user. Post-MVP.</t>
  </si>
  <si>
    <t>NSFW content allowed from day 1. +18 toggle required in settings and feed.</t>
  </si>
  <si>
    <t>Founding Creator/Member badge: first 500 creators = reduced fee + permanent badge. First 500 members = badge + discount.</t>
  </si>
  <si>
    <t>Git branches: Home, Landing, Store, Connect, Chat.</t>
  </si>
  <si>
    <t>Build style: visual/iterative — needs to see UI to know what to change.</t>
  </si>
  <si>
    <t>Privacy concern: Maryland biz records may expose identity linked to NSFW platform.</t>
  </si>
  <si>
    <t>Feed/story: heart story rail + For You/Following tabs confirmed in design.</t>
  </si>
  <si>
    <t>Homepage messaging avoids 'Softer'; should feel for everyone, not creator-first.</t>
  </si>
  <si>
    <t>Company structure: LLC recommended (US adult platforms standard). Epal, Fansly = LLC. OnlyFans = UK Ltd.</t>
  </si>
  <si>
    <t>Legal must be drafted BEFORE first creator is onboarded — not just before public launch.</t>
  </si>
  <si>
    <t>💸  Pumdoki — Expense &amp; Cost Tracker</t>
  </si>
  <si>
    <t>Item</t>
  </si>
  <si>
    <t>Type</t>
  </si>
  <si>
    <t>Estimated Cost</t>
  </si>
  <si>
    <t>Actual Cost</t>
  </si>
  <si>
    <t>Frequency</t>
  </si>
  <si>
    <t>🏦  ONE-TIME / SETUP COSTS</t>
  </si>
  <si>
    <t>CCBill Visa Registration Fee</t>
  </si>
  <si>
    <t>Payments</t>
  </si>
  <si>
    <t>One-time</t>
  </si>
  <si>
    <t>Once</t>
  </si>
  <si>
    <t>📋 Not Paid</t>
  </si>
  <si>
    <t>Required for US merchants to process Visa.</t>
  </si>
  <si>
    <t>CCBill Mastercard Registration Fee</t>
  </si>
  <si>
    <t>Required for US merchants to process MC.</t>
  </si>
  <si>
    <t>Epoch Setup Fee</t>
  </si>
  <si>
    <t>Typically free — Epoch acts as merchant of record.</t>
  </si>
  <si>
    <t>USPTO Trademark — 'Pumdoki'</t>
  </si>
  <si>
    <t>Legal</t>
  </si>
  <si>
    <t>Per class (IC 009, 035, 042). May need 2–3 classes.</t>
  </si>
  <si>
    <t>Registered Agent (annual)</t>
  </si>
  <si>
    <t>Annual</t>
  </si>
  <si>
    <t>Yearly</t>
  </si>
  <si>
    <t>Privacy shield for MD biz records. ~$100–150/yr.</t>
  </si>
  <si>
    <t>Domain Purchase (.com)</t>
  </si>
  <si>
    <t>Infrastructure</t>
  </si>
  <si>
    <t>Primary domain.</t>
  </si>
  <si>
    <t>Domain Variants (.net, .io)</t>
  </si>
  <si>
    <t>Optional — protect brand.</t>
  </si>
  <si>
    <t>📆  MONTHLY / RECURRING COSTS</t>
  </si>
  <si>
    <t>AWS EC2 (t3.small → t3.medium)</t>
  </si>
  <si>
    <t>Monthly</t>
  </si>
  <si>
    <t>Start small ($15–18), scale to medium ($30–35).</t>
  </si>
  <si>
    <t>AWS RDS PostgreSQL (db.t3.micro)</t>
  </si>
  <si>
    <t>Free tier covers 12 months if new AWS account.</t>
  </si>
  <si>
    <t>Cloudflare R2 Storage</t>
  </si>
  <si>
    <t>10GB free. $0.015/GB/mo after. Egress is free.</t>
  </si>
  <si>
    <t>Cloudflare R2 Operations</t>
  </si>
  <si>
    <t>10M Class B reads/mo free. Minimal at launch.</t>
  </si>
  <si>
    <t>SSL/TLS Certificate</t>
  </si>
  <si>
    <t>Free via Cloudflare or Let's Encrypt.</t>
  </si>
  <si>
    <t>Email Service (SES / Resend)</t>
  </si>
  <si>
    <t>SES: ~$0.10/1K emails. Free tier covers early use.</t>
  </si>
  <si>
    <t>Error Tracking (Sentry free tier)</t>
  </si>
  <si>
    <t>Free for 5K events/mo. Enough for launch.</t>
  </si>
  <si>
    <t>📊  PER-TRANSACTION COSTS (Variable)</t>
  </si>
  <si>
    <t>CCBill Transaction Fee</t>
  </si>
  <si>
    <t>Per-transaction</t>
  </si>
  <si>
    <t>Per txn</t>
  </si>
  <si>
    <t>Variable</t>
  </si>
  <si>
    <t>~10–14% per transaction. High-risk adult rate.</t>
  </si>
  <si>
    <t>Epoch Transaction Fee</t>
  </si>
  <si>
    <t>~10–15% per transaction on cascaded payments.</t>
  </si>
  <si>
    <t>CCBill Chargeback Fee</t>
  </si>
  <si>
    <t>Per event</t>
  </si>
  <si>
    <t>Varies. Budget ~$20–25 per chargeback.</t>
  </si>
  <si>
    <t>🔮  OPTIONAL / FUTURE COSTS</t>
  </si>
  <si>
    <t>Crypto Payment Gateway</t>
  </si>
  <si>
    <t>Deferred</t>
  </si>
  <si>
    <t>Post-MVP. NowPayments ~1%/txn. Self-hosted = free.</t>
  </si>
  <si>
    <t>Content Watermarking Service</t>
  </si>
  <si>
    <t>Tools</t>
  </si>
  <si>
    <t>Evaluate after launch. May build in-house.</t>
  </si>
  <si>
    <t>DMCA Takedown Service</t>
  </si>
  <si>
    <t>Optional. Handle manually at first.</t>
  </si>
  <si>
    <t>📋  COST SUMMARY</t>
  </si>
  <si>
    <t>Estimated One-Time Total</t>
  </si>
  <si>
    <t>Estimated Annual Total</t>
  </si>
  <si>
    <t>Estimated Monthly Total (launch)</t>
  </si>
  <si>
    <t>Estimated Year 1 Total</t>
  </si>
  <si>
    <t>🌸  Pumdoki Master Build Tracker</t>
  </si>
  <si>
    <t>Google Sheets-compatible workbook built from existing Pumdoki planning context.</t>
  </si>
  <si>
    <t>📋 MVP Tracker Summary</t>
  </si>
  <si>
    <t>📦 Post-MVP Backlog</t>
  </si>
  <si>
    <t>Total MVP tasks</t>
  </si>
  <si>
    <t>Total backlog items</t>
  </si>
  <si>
    <t>% Complete</t>
  </si>
  <si>
    <t>Status legend</t>
  </si>
  <si>
    <t>Project notes</t>
  </si>
  <si>
    <t>• Items without clear evidence of completion defaulted to Not Started.</t>
  </si>
  <si>
    <t>• Use the Master Tracker sheet as the working project manager view.</t>
  </si>
  <si>
    <t>• Upload this .xlsx to Google Sheets for online collaboration.</t>
  </si>
  <si>
    <t>• Infra locked: AWS (app/DB) + Cloudflare R2 (media).</t>
  </si>
  <si>
    <t>• Payments locked: CCBill (primary) + Epoch (cascade/fallback).</t>
  </si>
  <si>
    <t>• Future: Crypto payments (USDT/BTC) planned post-MVP.</t>
  </si>
  <si>
    <t>🌸 Pumdoki Delivery Dashboard</t>
  </si>
  <si>
    <t>Updated September 9, 2026. Private R2 photo/video flow verified with real cloud storage. Next: founder reviews the working local upload/publish flow. LLC awaits Maryland approval. Record counts are not launch readiness.</t>
  </si>
  <si>
    <t>Current focus</t>
  </si>
  <si>
    <t>Next founder decision</t>
  </si>
  <si>
    <t>Phase</t>
  </si>
  <si>
    <t>P05 — First functioning content flow</t>
  </si>
  <si>
    <t>R2 connection verified: safe photo/video upload, private drafts, publish/member read and removal. Public Access Disabled confirmed in Cloudflare. Next: founder reviews this working local flow. No hosted deployment or processor approval is claimed.</t>
  </si>
  <si>
    <t>Work</t>
  </si>
  <si>
    <t>Review the working local R2 content flow</t>
  </si>
  <si>
    <t>Workflow</t>
  </si>
  <si>
    <t>One task at a time</t>
  </si>
  <si>
    <t>Scope</t>
  </si>
  <si>
    <t>Payment method unresolved. Subscriptions, PPV, Store, Connect, chat and tipping remain launch scope; old Oasis cancelled.</t>
  </si>
  <si>
    <t>Evidence</t>
  </si>
  <si>
    <t>https://github.com/QK-Connoisseur/PDoki/blob/dev/PLAN.md</t>
  </si>
  <si>
    <t>Funding notes: founder reports a $1,800 monthly ceiling; this is not lump-sum cash or funded runway. Existing $1,000–$5,000 cash assumptions remain until clarified. See Launch Budget.</t>
  </si>
  <si>
    <t>Execution summary</t>
  </si>
  <si>
    <t>Execution records</t>
  </si>
  <si>
    <t>Done</t>
  </si>
  <si>
    <t>In Progress</t>
  </si>
  <si>
    <t>In Review</t>
  </si>
  <si>
    <t>Blocked</t>
  </si>
  <si>
    <t>Not Started</t>
  </si>
  <si>
    <t>Record progress</t>
  </si>
  <si>
    <t>Phase roadmap</t>
  </si>
  <si>
    <t>PLAN phase</t>
  </si>
  <si>
    <t>Phase State</t>
  </si>
  <si>
    <t>Maturity</t>
  </si>
  <si>
    <t>Records Done</t>
  </si>
  <si>
    <t>Execution Records</t>
  </si>
  <si>
    <t>Record Progress</t>
  </si>
  <si>
    <t>Next gate</t>
  </si>
  <si>
    <t>How to use this workbook</t>
  </si>
  <si>
    <t>1</t>
  </si>
  <si>
    <t>One functional slice at a time. R2 setup and safe-media integration are verified. Next: founder reviews the working local upload/publish flow to close this slice. CCBill follow-up stays cancelled; live sensitive use remains unavailable.</t>
  </si>
  <si>
    <t>2</t>
  </si>
  <si>
    <t>Use Delivery Tracker for canonical execution status.</t>
  </si>
  <si>
    <t>3</t>
  </si>
  <si>
    <t>Use Phase Roadmap for evidence-based phase state and exit gates.</t>
  </si>
  <si>
    <t>4</t>
  </si>
  <si>
    <t>Use Daily Log for each meaningful work-session debrief.</t>
  </si>
  <si>
    <t>5</t>
  </si>
  <si>
    <t>Master Tracker remains the preserved legacy source.</t>
  </si>
  <si>
    <t>Review rule</t>
  </si>
  <si>
    <t>Open PR/review artifact → In Review. Green CI does not equal Done.</t>
  </si>
  <si>
    <t>Done rule</t>
  </si>
  <si>
    <t>Accepted and verified defined scope; not automatically production-ready.</t>
  </si>
  <si>
    <t>Phase 2</t>
  </si>
  <si>
    <t>PR #13 is merged and CI-verified; the fixed canary foundation is Done while Phase 2 remains partial.</t>
  </si>
  <si>
    <t>Phase 4</t>
  </si>
  <si>
    <t>Slices 1–3 are published; further operations work is parked. Activation controls remain unevaluated.</t>
  </si>
  <si>
    <t>Post-MVP</t>
  </si>
  <si>
    <t>Still tracked in Backlog and POST phase.</t>
  </si>
  <si>
    <t>Legacy preservation</t>
  </si>
  <si>
    <t>No legacy task, note, backlog item, assumption, or expense value was deleted.</t>
  </si>
  <si>
    <t>Expense QC</t>
  </si>
  <si>
    <t>Year 1 arithmetic corrected to $2,366; original $1,713 retained. Use Launch Budget for current estimates.</t>
  </si>
  <si>
    <t>Daily cadence</t>
  </si>
  <si>
    <t>Update active/review/blocked rows after work; review priorities weekly.</t>
  </si>
  <si>
    <t>Use PR, commit, CI, or architecture URLs—not copied technical test matrices.</t>
  </si>
  <si>
    <t>Source of truth</t>
  </si>
  <si>
    <t>PLAN.md = phase architecture; Delivery Tracker = current execution; HANDOFF.md = active technical evidence.</t>
  </si>
  <si>
    <t>Metric rule</t>
  </si>
  <si>
    <t>Record progress counts preserved/current records; Phase State is the canonical PLAN judgment.</t>
  </si>
  <si>
    <t>Published base</t>
  </si>
  <si>
    <t>See HANDOFF.md for verified current branches</t>
  </si>
  <si>
    <t>Latest merge</t>
  </si>
  <si>
    <t>Slice 3: PR #15; Slice 4: PR #17 merged in dev 56cb0ad</t>
  </si>
  <si>
    <t>Next founder task</t>
  </si>
  <si>
    <t>Founder reviews the working local R2 upload, draft, publish and removal flow.</t>
  </si>
  <si>
    <t>Dependency-ordered PLAN.md is established and current through the merged PR #1–#3 baseline; tracker reconciliation is now ongoing maintenance.</t>
  </si>
  <si>
    <t>CCBill replied: functioning online site needed; password protection allowed. Site/policy preparation underway.</t>
  </si>
  <si>
    <t>Decide classes (IC 009, 035, 042), timing and filing sequence for 'Pumdoki'.</t>
  </si>
  <si>
    <t>Entity not filed. Evaluate Wyoming and other privacy/no-individual-income-tax candidates with an attorney and CPA; account for foreign qualification where the founder operates.</t>
  </si>
  <si>
    <t>Included in Suzanne Lawyer’s purchased $1,100 bundle. Draft delivery, review and approval pending.</t>
  </si>
  <si>
    <t>Responsive work remains active. A session-aware branded 404, route-level code splitting, and an in-flow dismissible verification reminder are merged and CI-covered on desktop/mobile paths.</t>
  </si>
  <si>
    <t>Implement Midnight City theme</t>
  </si>
  <si>
    <t>Second free theme alongside Sakura Kiss. Blue city rooftops with static desktop/mobile JPG backgrounds. Settings Appearance chooser stores the preference in this browser.</t>
  </si>
  <si>
    <t>Published in 0f01961 (#19). Theme switch/restore and static assets are tested. Account sync remains separate future work.</t>
  </si>
  <si>
    <t>Private safe-sample R2 bucket and API integration verified. Signed delivery, CDN caching and production storage lifecycle/recovery remain pending.</t>
  </si>
  <si>
    <t>Safe PNG/MP4 uploads, private reads, restart/removal and browser checks passed. Adult-business acceptance unconfirmed.</t>
  </si>
  <si>
    <t>Model users, creators, posts, subscriptions, plans, transactions and moderation.</t>
  </si>
  <si>
    <t>Local PostgreSQL/Prisma includes User, Session, append-only AcceptanceRecord, VerificationToken, UserPreference, CreatorApplication, creator-policy acceptance, and constrained successful-transition review evidence. Remaining product domains and production RDS deployment are pending.</t>
  </si>
  <si>
    <t>Local validated environments plus Docker PostgreSQL/Mailpit exist. PR #3 adds non-secret staging/configuration/verification templates only; staging and production infrastructure, credentials, private origin, and live verification remain pending.</t>
  </si>
  <si>
    <t>Implemented /api/v1 health/readiness, auth/email, /me, protected Settings/session, and member creator-application flows. The creator-review router remains deliberately unmounted and requires an operations verifier; later product domains remain pending.</t>
  </si>
  <si>
    <t>Structured Pino request logging, request IDs, and secret-header redaction are implemented. PR #3 adds a provider scorecard/runbook only; monitoring integration, alerts, retention decisions, and live evidence remain pending.</t>
  </si>
  <si>
    <t>Global per-IP limits plus bounded in-memory login and email-request throttles are implemented. Redis-backed multi-instance protection remains pending.</t>
  </si>
  <si>
    <t>CI runs formatting, lint, web/API tests and builds, migrations/seed, private-admin build, and real-stack Playwright with read-only token permissions and bounded timeouts. PR #1–#3 passed reviewed-head CI; deployment automation remains pending.</t>
  </si>
  <si>
    <t>Slice 3 connects registration, login, logout, and authenticated route restoration to the live API.</t>
  </si>
  <si>
    <t>MEMBER/CREATOR route gates and backend role checks are implemented. The public web app has no /admin route; an ADMIN public session is not operational authentication and cannot activate the dormant review router.</t>
  </si>
  <si>
    <t>HttpOnly-cookie sessions restore through /me, renew on a bounded sliding window, support logout/logout-all, and can now be listed and individually revoked from protected Settings. Sensitive account changes revoke other sessions.</t>
  </si>
  <si>
    <t>A verified MEMBER can submit one persisted creator application; it remains PENDING with identity NOT_STARTED and no role promotion or Dashboard access. Member first-run setup, theme choice, identity/tax/banking intake, and operational approval remain pending.</t>
  </si>
  <si>
    <t>Registration records append-only age attestation and versioned Terms/Privacy acceptance; verified email gates creator-application submission. Entry-gate UI and actual identity/age verification remain pending.</t>
  </si>
  <si>
    <t>Slice 3 provides verification screens and Mailpit-backed confirmation. Slice 4B adds authenticated email change, invalidates stale links, requires reverification, and preserves only the current session.</t>
  </si>
  <si>
    <t>Slice 3 provides reset request/confirmation and global revocation. Slice 4B adds current-password-confirmed password change, reset-token invalidation, and other-session revocation.</t>
  </si>
  <si>
    <t>Live validated API login/signup/logout plus forgot/reset/verify flows are published. Registration was redesigned, verification reminders no longer overlay protected content, and deep-link restoration/session-aware recovery are CI-covered.</t>
  </si>
  <si>
    <t>Locked preview UI exists; backend entitlement and protected media delivery remain.</t>
  </si>
  <si>
    <t>Tier visuals exist. Launch tiers will be standardized; exact rules and backend enforcement remain.</t>
  </si>
  <si>
    <t>Launch-critical. UI prototype exists. Target four noticeable YouTube-like medium thumbnails on common large desktops, with more columns on wider screens.</t>
  </si>
  <si>
    <t>Launch-critical. UI prototype exists. Requires service configuration, availability, payment rules, cancellation, reviews and disputes.</t>
  </si>
  <si>
    <t>Real-time direct messaging using authenticated WebSockets. Advanced group/chat features remain post-MVP.</t>
  </si>
  <si>
    <t>Chat UI prototype exists. Persistence, WebSocket authorization, reconnect, read state, reporting, and rate limits are pending.</t>
  </si>
  <si>
    <t>User preference to hide or show explicit 18+ content across onboarding, Settings, feeds, search, Store, and Connect. Default hidden.</t>
  </si>
  <si>
    <t>Default-hidden preference persistence and protected Settings opt-in/immediate opt-out are implemented and CI-verified. Onboarding and server-side feed/search/Store/Connect enforcement remain pending.</t>
  </si>
  <si>
    <t>Account info, password change, notification preferences, theme toggle (Sakura Kiss / Midnight City), NSFW content toggle, payment/billing section.</t>
  </si>
  <si>
    <t>Protected Settings implements display name, email/reverification, password, active sessions and explicit-content preference. Theme selection is implemented browser-locally. Account theme sync, real notifications/billing, export and deletion remain pending.</t>
  </si>
  <si>
    <t>P08 member history: liked posts, purchases, subscriptions and payment history. UI preview first; account-backed events follow.</t>
  </si>
  <si>
    <t>Example-data /activity UI with search/filters and sidebar/header links. Real account API and persistence pending.</t>
  </si>
  <si>
    <t>Large UI prototype exists. Backend data, actions, reconciliation, and tests remain. Live Streaming stays disabled post-MVP.</t>
  </si>
  <si>
    <t>Sales replied; review site is being built. Merchant approval, API/webhooks and billing remain unimplemented.</t>
  </si>
  <si>
    <t>CCBill site prep underway. Epoch outreach, account approval and integration remain unstarted.</t>
  </si>
  <si>
    <t>CCBill site prep underway. Cascade needs written account-specific confirmation from both processors.</t>
  </si>
  <si>
    <t>CCBill site prep underway. Billing awaits agreed payment flow, processor approval and trusted payment events.</t>
  </si>
  <si>
    <t>Founder decision pending. Model 20/25/30% platform fees against actual processor fees before promising a creator split.</t>
  </si>
  <si>
    <t>CCBill site prep underway. Dispute workflow awaits processor rules/events and authorized operations.</t>
  </si>
  <si>
    <t>Build private operations application</t>
  </si>
  <si>
    <t>Deploy a separately hosted private operations app; do not expose /admin in the public Pumdoki web app. Enforce ADMIN permissions in the API and apply separate operational access controls.</t>
  </si>
  <si>
    <t>An independently buildable apps/admin shell, public /admin removal, a dormant injected-verifier API seam, and a non-secret readiness packet are merged. No deployed private origin, production verifier, hardware-backed assurance, operator provisioning, origin/CSRF controls, restricted DB grants, or usable review UI exists; G1–G12 are NOT EVALUATED.</t>
  </si>
  <si>
    <t>Application submission/persistence and dormant server-side NEEDS_INFORMATION/REJECTED transitions with successful-transition evidence are merged. No queue/list/detail UI, ID/selfie intake, APPROVED, role promotion, reviewer deployment, notification, or creator publishing exists.</t>
  </si>
  <si>
    <t>CCBill site prep underway. Admin view awaits payment/payout data and private-operations controls.</t>
  </si>
  <si>
    <t>View verified processor chargeback events, calculate rates, apply confirmed account-specific alert thresholds and log authorized dispute responses.</t>
  </si>
  <si>
    <t>CCBill site prep underway. Dashboard awaits verified dispute events and account-specific alert thresholds.</t>
  </si>
  <si>
    <t>The merged creator-review event records successful non-approval transitions at application level, but it is not a complete immutable operations audit. The global audit log, restricted audit destination, retention, and operational evidence controls remain unimplemented.</t>
  </si>
  <si>
    <t>Provider-neutral console/SMTP delivery, local Mailpit, and verification/password-reset messages are implemented. Production provider selection, adult-business fit, deliverability/authentication, billing/moderation/booking mail, and platform notifications remain open.</t>
  </si>
  <si>
    <t>Repository checks and real-stack browser coverage are established, including merged routing, auth, Settings, and creator-application flows. The broader product, beta, payment, moderation, and launch QA checklist remains incomplete.</t>
  </si>
  <si>
    <t>CCBill site prep underway. Testing awaits implemented processor flows; cascade only if confirmed.</t>
  </si>
  <si>
    <t>🧭  PHASE 13 — June 2026 Scope &amp; Architecture Decisions</t>
  </si>
  <si>
    <t>Implement tipping / Send Love</t>
  </si>
  <si>
    <t>Allow members to tip creators with idempotent payment evidence and creator pending earnings. Payment method remains unresolved.</t>
  </si>
  <si>
    <t>Moved from backlog into MVP launch scope.</t>
  </si>
  <si>
    <t>Implement PPV purchases</t>
  </si>
  <si>
    <t>Allow members to unlock individual creator content with durable entitlement records. Payment method remains unresolved.</t>
  </si>
  <si>
    <t>Implement real-time WebSocket messaging</t>
  </si>
  <si>
    <t>Authenticated direct messages with persistence, reconnect, read states, presence, rate limits, block, and report.</t>
  </si>
  <si>
    <t>Basic real-time DMs are launch scope; advanced group/chat features remain post-MVP.</t>
  </si>
  <si>
    <t>Complete Store for launch</t>
  </si>
  <si>
    <t>Connect Store tabs, search, purchase, history, favorites, liked content, filters, and responsive four-card desktop presentation to real data.</t>
  </si>
  <si>
    <t>UI prototype exists; backend and payment integration remain.</t>
  </si>
  <si>
    <t>Complete Connect for launch</t>
  </si>
  <si>
    <t>Implement service setup, schedules, time zones, payment rules, confirmations, cancellations, disputes and reviews.</t>
  </si>
  <si>
    <t>UI prototype exists; full booking lifecycle remains.</t>
  </si>
  <si>
    <t>Complete Oasis / Drimy for launch</t>
  </si>
  <si>
    <t>Create server-authoritative Drimy ownership, XP, Orbs, tasks, evolution, inventory, achievements, and daily resets.</t>
  </si>
  <si>
    <t>Moved from post-MVP into launch scope; current page is client-only mock logic.</t>
  </si>
  <si>
    <t>Build Oasis collectibles and cosmetics</t>
  </si>
  <si>
    <t>Create collectible backgrounds, skins, frames, badges, equipped states, fixed-price store items, and reward inventory.</t>
  </si>
  <si>
    <t>Primary objective is daily retention. Paid randomized rewards require separate review.</t>
  </si>
  <si>
    <t>Implement explicit-content preference</t>
  </si>
  <si>
    <t>Add hide/show 18+ content choice to onboarding, Settings, feed, search, Store, and Connect; default hidden.</t>
  </si>
  <si>
    <t>Define international launch allowlist</t>
  </si>
  <si>
    <t>Enable countries only after payment, payout, identity, adult-content law, privacy, tax, sanctions, and support review.</t>
  </si>
  <si>
    <t>Prioritize USA and selected Latin American countries; phase EU/EEA carefully.</t>
  </si>
  <si>
    <t>Support Latin American creator onboarding</t>
  </si>
  <si>
    <t>Plan Spanish localization, local IDs, tax residency, payout support, time zones, and region-appropriate assistance.</t>
  </si>
  <si>
    <t>Core creator acquisition requirement.</t>
  </si>
  <si>
    <t>Select identity verification approach</t>
  </si>
  <si>
    <t>Compare specialist providers and a tightly controlled manual-beta workflow; design for later provider migration.</t>
  </si>
  <si>
    <t>Manual review requires encrypted isolated storage, strict access, and audit logs.</t>
  </si>
  <si>
    <t>Define initial media upload limits</t>
  </si>
  <si>
    <t>Start with cost-conscious limits and direct R2 uploads; measure beta storage/transcoding cost before raising limits.</t>
  </si>
  <si>
    <t>Provisional: images 20 MB, video 1 GB/30 min, audio 250 MB, ID files 10 MB.</t>
  </si>
  <si>
    <t>Select transactional email provider</t>
  </si>
  <si>
    <t>Evaluate Amazon SES first, verify adult-business support, and implement verification, reset, billing, moderation, and booking mail.</t>
  </si>
  <si>
    <t>Provider-neutral SMTP/console abstraction and local Mailpit are implemented. Production provider selection, adult-business support, deliverability, TLS, DKIM, SPF, and DMARC remain open.</t>
  </si>
  <si>
    <t>Choose LLC state and privacy structure</t>
  </si>
  <si>
    <t>Compare Wyoming and other candidates with an adult-platform attorney and CPA; include registered agent, taxes, and foreign qualification.</t>
  </si>
  <si>
    <t>No entity filed. A no-income-tax state does not by itself remove taxes or disclosure duties elsewhere.</t>
  </si>
  <si>
    <t>Decide commission and payout model</t>
  </si>
  <si>
    <t>Model processor fees, chargebacks, refunds, taxes, platform fee, Founding Creator discount, payout cadence, and minimum.</t>
  </si>
  <si>
    <t>Do not publish the current 80/20 mock copy until actual processor economics are known.</t>
  </si>
  <si>
    <t>Define private operations architecture</t>
  </si>
  <si>
    <t>Build a separately deployed private operations application with API-enforced ADMIN permissions, stronger access controls, sensitive-record permissions, and immutable audit logging.</t>
  </si>
  <si>
    <t>A separate apps/admin shell, dormant injected-verifier review seam, and merged non-secret G1–G12 readiness packet exist. The router is unmounted; production authentication, restricted hosting, phishing-resistant hardware-backed assurance, operator provisioning, origin/CSRF controls, trusted-proxy handling, restricted DB grants, immutable audit, and deployment are absent; all gates are NOT EVALUATED.</t>
  </si>
  <si>
    <t>Adopt TypeScript backend and shared contracts</t>
  </si>
  <si>
    <t>Keep the current web prototype in JavaScript initially; write new API/database/contracts in TypeScript and migrate frontend gradually.</t>
  </si>
  <si>
    <t>TypeScript API/contracts/database foundations now cover auth, protected Settings, creator applications, and the dormant review seam; frontend conversion remains incremental.</t>
  </si>
  <si>
    <t>Replace prototype contact addresses</t>
  </si>
  <si>
    <t>Replace unconfigured production-looking emails with .example sample addresses until real domains and mailboxes are operational.</t>
  </si>
  <si>
    <t>Legal and support UI must not imply nonexistent operations.</t>
  </si>
  <si>
    <t>Prepare public-member / controlled-creator beta</t>
  </si>
  <si>
    <t>Allow public member registration when safe while onboarding creators through verification and approval controls.</t>
  </si>
  <si>
    <t>Public member registration exists, while creator applications remain PENDING and identity NOT_STARTED. No approval, role promotion, identity/tax/banking intake, deployed reviewer workflow, or creator publishing gate exists; controlled beta readiness remains incomplete.</t>
  </si>
  <si>
    <t>Confirm CCBill → Epoch cascade</t>
  </si>
  <si>
    <t>Obtain written technical and commercial confirmation before implementing fallback payment routing.</t>
  </si>
  <si>
    <t>CCBill Sales replied; site prep underway. Written cascade confirmation and Epoch outreach remain pending.</t>
  </si>
  <si>
    <t>Advanced group chat, rich collaboration, and higher-complexity messaging remain later; basic authenticated WebSocket DMs moved to MVP.</t>
  </si>
  <si>
    <t>MVP includes real-time direct messages only. Advanced chat remains deferred.</t>
  </si>
  <si>
    <t>Moved into the launch MVP by founder decision on June 21, 2026.</t>
  </si>
  <si>
    <t>Critical</t>
  </si>
  <si>
    <t>➡️ Moved to MVP</t>
  </si>
  <si>
    <t>Tracked in Master Tracker: Implement tipping / Send Love.</t>
  </si>
  <si>
    <t>Tracked in Master Tracker: Implement PPV purchases.</t>
  </si>
  <si>
    <t>Multiple themes (beyond Sakura Kiss &amp; Midnight City)</t>
  </si>
  <si>
    <t>Oasis/Drimy is now launch scope for daily retention, collectibles, backgrounds, and skins.</t>
  </si>
  <si>
    <t>This workbook is reconciled with the repository, founder decisions, and merged PR #1–#3 baseline through August 16, 2026.</t>
  </si>
  <si>
    <t>Phase 6 expanded — added: NSFW toggle, Settings, Help/Support, Activity, modal/drawer/chat fixes, creator dashboard.</t>
  </si>
  <si>
    <t>Midnight City is implemented as the second free default theme alongside Sakura Kiss, with browser-local selection.</t>
  </si>
  <si>
    <t>CCBill is the intended primary processor. Sales has replied; merchant/model approval and technical integration remain pending.</t>
  </si>
  <si>
    <t>Epoch is the intended fallback. Outreach and account-specific cascade confirmation remain pending; no routing is implemented.</t>
  </si>
  <si>
    <t>Admin operations: separate apps/admin shell; no public /admin. Public ADMIN sessions are insufficient for operations access. The dormant review router stays unmounted until signed operations identity, exact provisioning, phishing-resistant hardware-backed assurance, private-origin/CSRF, trusted-proxy, restricted DB-role, audit, and recovery gates pass.</t>
  </si>
  <si>
    <t>Midnight City: blue city rooftops, static desktop/mobile JPGs. Browser-local Settings selection implemented; account sync pending.</t>
  </si>
  <si>
    <t>Oasis / Drimys is now launch scope. It targets daily retention through XP, Orbs, evolution, tasks, backgrounds, skins, frames, badges, and collectibles.</t>
  </si>
  <si>
    <t>🚀 Current Delivery Plan</t>
  </si>
  <si>
    <t>Plan source</t>
  </si>
  <si>
    <t>PLAN.md remains the architecture source of truth. PR #1 merged Phase 4 creator-application persistence plus the dormant non-approval review foundation; PR #2 merged routing hardening; PR #3 merged non-secret operations-readiness documentation.</t>
  </si>
  <si>
    <t>Immediate 1</t>
  </si>
  <si>
    <t>PR #1 (e7352c8), PR #2 (1189404), and PR #3 (80efce5) are merged into dev after green reviewed-head CI. The public API still does not mount the creator-review router, and the readiness packet is planning—not live-control evidence.</t>
  </si>
  <si>
    <t>Immediate 2</t>
  </si>
  <si>
    <t>Keep Phase 2 labeled partially complete: staging, backup/restore drills, monitoring/alerts, shared Redis throttling, queue/idempotency architecture, and production email decisions remain open.</t>
  </si>
  <si>
    <t>Immediate 3</t>
  </si>
  <si>
    <t>Before any private-operations activation, implement and evaluate G1–G12: signed operations identity, exact operator provisioning, phishing-resistant hardware-backed assurance, private origin plus mutation CSRF/origin validation, trusted-proxy handling, restricted database roles, audit destination, recovery, and abuse tests.</t>
  </si>
  <si>
    <t>Immediate 4</t>
  </si>
  <si>
    <t>Obtain counsel/CPA guidance and concrete identity-provider, country-allowlist, retention, CCBill/Epoch, tax, payout, and operational-mailbox inputs before irreversible compliance or payment workflows.</t>
  </si>
  <si>
    <t>Immediate 5</t>
  </si>
  <si>
    <t>Keep APPROVED, creator-role promotion, identity files, tax/banking intake, payment/ledger effects, creator publishing, staging deployment, and production activation disabled until their legal, provider, security, and operational gates are concrete.</t>
  </si>
  <si>
    <t>✅ July 7, 2026 — Confirmed Founder Decisions</t>
  </si>
  <si>
    <t>Phase 3 starts on the local stack while Phase 2 remains explicitly partially complete.</t>
  </si>
  <si>
    <t>First beta uses email/password only; Google OAuth is not beta scope.</t>
  </si>
  <si>
    <t>Phase 3 is decomposed into four slices: core auth backend, email flows, frontend integration, and Settings.</t>
  </si>
  <si>
    <t>Sessions use opaque tokens with 30-day sliding expiry, renewed at most once per day.</t>
  </si>
  <si>
    <t>Acceptance records are append-only with restrictive deletion; future account deletion must follow counsel-approved retention and pseudonymization rules.</t>
  </si>
  <si>
    <t>Slice 3 connects the frontend to live auth APIs, including persistent cookie sessions, verification, password reset, role guards, and logout.</t>
  </si>
  <si>
    <t>Core-auth implementation uses Argon2id and transparently upgrades the development scrypt seed format after a successful login.</t>
  </si>
  <si>
    <t>Email verification, password reset, frontend auth integration, protected Settings, and explicit-content preference persistence are published and CI-verified. OAuth, a production email provider, and Redis-backed throttling remain later work.</t>
  </si>
  <si>
    <t>✅ July 28, 2026 — Phase 3 Slice 2 Verification</t>
  </si>
  <si>
    <t>Provider-neutral SMTP/console mail, local Mailpit, verification and reset templates, and validated mail environment variables are implemented.</t>
  </si>
  <si>
    <t>Verification and reset tokens are random, hashed at rest, expiring, single-use, and invalidated on reissue; password reset revokes all sessions.</t>
  </si>
  <si>
    <t>Phase 3 Slice 4B publishes the founder-approved core account-security scope: display-name edit, email change/reverification, authenticated password change, and active-session listing/revocation. Notifications wait for Phase 9; billing for payments; export/deletion for counsel-approved retention; theme for design-system work; explicit-content query enforcement for Phase 5 APIs.</t>
  </si>
  <si>
    <t>✅ June 21, 2026 — Confirmed Founder Decisions</t>
  </si>
  <si>
    <t>Oasis/Drimy must be functional at launch.</t>
  </si>
  <si>
    <t>Store and Connect are launch-critical.</t>
  </si>
  <si>
    <t>Tipping, Send Love, and PPV are MVP launch scope.</t>
  </si>
  <si>
    <t>Live streaming remains post-MVP.</t>
  </si>
  <si>
    <t>CCBill Sales replied and functioning-site preparation is underway. Password protection is permitted. Epoch outreach remains pending.</t>
  </si>
  <si>
    <t>CCBill-to-Epoch cascade behavior is not yet confirmed.</t>
  </si>
  <si>
    <t>Commission, Founding Creator discount, payout cadence, and minimum payout remain undecided.</t>
  </si>
  <si>
    <t>The LLC is not filed. Founder prioritizes privacy and is considering a no-individual-income-tax state.</t>
  </si>
  <si>
    <t>Recommended stack: TypeScript for new API/contracts, gradual frontend conversion, Express, PostgreSQL, and Prisma.</t>
  </si>
  <si>
    <t>Recommended auth: one Pumdoki-owned account/session system with optional OAuth login methods later.</t>
  </si>
  <si>
    <t>Founder decision (2026-08-01): no public /admin route. A separate apps/admin shell and dormant injected-verifier review seam exist, but public ADMIN authorization alone is insufficient; production operations identity, access controls, workflow UI, and deployment remain absent.</t>
  </si>
  <si>
    <t>International launch should use a phased country allowlist rather than enabling every country immediately.</t>
  </si>
  <si>
    <t>Latin American creators are a core audience and require Spanish, local ID, tax, and payout support.</t>
  </si>
  <si>
    <t>Identity verification may start with a tightly controlled manual beta only if security/legal controls exist; design for provider migration.</t>
  </si>
  <si>
    <t>Use cost-conscious initial media limits and direct Cloudflare R2 uploads.</t>
  </si>
  <si>
    <t>Keep performer/consent records simple in the UI while supporting multiple performers in the data model.</t>
  </si>
  <si>
    <t>Creator membership tiers are standardized.</t>
  </si>
  <si>
    <t>Store purchases remain launch scope. Payment method is unresolved.</t>
  </si>
  <si>
    <t>Connect remains launch scope. Payment and service rules need definition.</t>
  </si>
  <si>
    <t>MVP direct messaging uses real WebSockets.</t>
  </si>
  <si>
    <t>Email provider is undecided; evaluate Amazon SES and provider adult-business support.</t>
  </si>
  <si>
    <t>Use .example sample addresses until real operational mailboxes exist.</t>
  </si>
  <si>
    <t>No legal counsel has approved policies yet.</t>
  </si>
  <si>
    <t>Members need a hide/show explicit 18+ content preference; default hidden is recommended.</t>
  </si>
  <si>
    <t>Store target: four noticeable medium YouTube-like thumbnails on common large desktops; scale column count with screen width.</t>
  </si>
  <si>
    <t>Oasis targets daily retention with collectible backgrounds, skins, frames, badges, and related cosmetics.</t>
  </si>
  <si>
    <t>Preserve the current uncommitted frontend work during restructuring.</t>
  </si>
  <si>
    <t>Start with known creators under controlled onboarding while preparing public member registration.</t>
  </si>
  <si>
    <t>Rows 1–96 retain historical context except scope removed by founder instruction; current operating notes begin below.</t>
  </si>
  <si>
    <t>📌 Tracker Operating Model — August 21, 2026</t>
  </si>
  <si>
    <t>PLAN.md Phases 0–14 define the roadmap. Delivery Tracker is the current execution view; HANDOFF.md carries detailed active-slice evidence.</t>
  </si>
  <si>
    <t>The original Master Tracker and Legacy Overview remain visible. No legacy task, note, backlog item, assumption, or expense value was deleted.</t>
  </si>
  <si>
    <t>Not Started, Ready, In Progress, In Review, Blocked, Done, Deferred.</t>
  </si>
  <si>
    <t>Decision Locked means product scope or architecture direction only—never counsel-approved copy or provider approval. Workflow Done never automatically means Production-Ready.</t>
  </si>
  <si>
    <t>Daily debrief</t>
  </si>
  <si>
    <t>Append one Daily Log row per meaningful session: goal, change, meaning, exclusions, verification, status, blocker, and next step.</t>
  </si>
  <si>
    <t>Phase 4 Slice 3 is locally implemented at commit 9904334 and authorized for draft-PR review: strict provider-neutral assertion verification, DB-owned operator/grant authorization, and request-integrity seams. It is not mounted, deployed, or operational.</t>
  </si>
  <si>
    <t>Creator application and dormant non-approval review foundations are published. The Slice 3 local foundation is in review; legal, live provider/issuer, hosting, session, runtime-role, approval, role-promotion, identity, publishing, and deployment gates remain open. G1–G12 remain NOT EVALUATED.</t>
  </si>
  <si>
    <t>The visible Year 1 expense total appears inconsistent with visible inputs. It is preserved unchanged and flagged for separate founder review.</t>
  </si>
  <si>
    <t>Last refreshed</t>
  </si>
  <si>
    <t>2026-08-23 by Codex during the authorized Phase 4 Slice 3 local implementation and draft-publication preparation.</t>
  </si>
  <si>
    <t>USD. Estimated costs are historical; see Launch Budget for planning. Actual purchases below were confirmed by the founder September 10, 2026. Transaction dates were not supplied.</t>
  </si>
  <si>
    <t>Kiban Digital Holdings LLC — Northwest formation</t>
  </si>
  <si>
    <t>Paid / filed</t>
  </si>
  <si>
    <t>Founder confirmed $196 total on September 10. Filed through Northwest; Maryland approval pending. Exact purchase date not supplied. Estimated Cost is the old allowance, not the amount paid.</t>
  </si>
  <si>
    <t>Policy documents — Suzanne Lawyer (Fiverr)</t>
  </si>
  <si>
    <t>Paid / drafting</t>
  </si>
  <si>
    <t>Founder confirmed purchase September 10. $1,100 bundle: ToS $150; Privacy/Cookies $150; AUP $100; community rules $100; DMCA $100; NCII/TAKE IT DOWN $100; anti-trafficking $100; complaints/appeals $150; creator/payout terms $150. Offer: 5 revisions, 7 days. Delivery and approval pending. Transaction date and added fees not supplied. No other Fiverr purchases reported.</t>
  </si>
  <si>
    <t>Actual paid to date</t>
  </si>
  <si>
    <t>Original displayed Year 1 total</t>
  </si>
  <si>
    <t>Remaining estimate vs original total</t>
  </si>
  <si>
    <t>Current budget</t>
  </si>
  <si>
    <t>See Launch Budget. Old registration, legal, free-tier and processor assumptions are superseded.</t>
  </si>
  <si>
    <t>Counts are derived from the Master Tracker through August 16, 2026. Section headers are excluded.</t>
  </si>
  <si>
    <t>Phase 1 and the founder-approved Phase 3 core scope are published and CI-verified. Phase 2 remains partial. PR #1 merged the Phase 4 creator-application and dormant non-approval review foundation, PR #2 merged routing hardening, and PR #3 merged non-secret readiness documentation. The operations router remains unmounted and activation gates G1–G12 are NOT EVALUATED.</t>
  </si>
  <si>
    <t>Connect Tech LLC</t>
  </si>
  <si>
    <t>Preservation note</t>
  </si>
  <si>
    <t>This sheet is the untouched August 16 Overview snapshot retained during the PLAN.md tracker rework.</t>
  </si>
  <si>
    <t>Use Overview, Phase Roadmap, Delivery Tracker, Review &amp; Blocker Queue, Daily Log, and Decision Register for current project management.</t>
  </si>
  <si>
    <t>The original Master Tracker remains visible and preserved as the legacy task source.</t>
  </si>
  <si>
    <t>⚙ Pumdoki Tracker Controls &amp; Definitions</t>
  </si>
  <si>
    <t>Editable dropdown values and concise operating definitions. PLAN.md remains the phase source of truth.</t>
  </si>
  <si>
    <t>Phase ID</t>
  </si>
  <si>
    <t>Phase Name</t>
  </si>
  <si>
    <t>Owner</t>
  </si>
  <si>
    <t>Record Type</t>
  </si>
  <si>
    <t>P00</t>
  </si>
  <si>
    <t>Baseline, tracker, and scope control</t>
  </si>
  <si>
    <t>Decision Locked</t>
  </si>
  <si>
    <t>Founder</t>
  </si>
  <si>
    <t>PLAN task</t>
  </si>
  <si>
    <t>P01</t>
  </si>
  <si>
    <t>Repository and frontend foundation</t>
  </si>
  <si>
    <t>Ready</t>
  </si>
  <si>
    <t>UI Prototype</t>
  </si>
  <si>
    <t>Engineering</t>
  </si>
  <si>
    <t>PLAN phase gate</t>
  </si>
  <si>
    <t>Partially Complete</t>
  </si>
  <si>
    <t>P02</t>
  </si>
  <si>
    <t>Backend and database foundation</t>
  </si>
  <si>
    <t>Backend Implemented</t>
  </si>
  <si>
    <t>Operations</t>
  </si>
  <si>
    <t>Supplemental</t>
  </si>
  <si>
    <t>Foundation Complete</t>
  </si>
  <si>
    <t>P03</t>
  </si>
  <si>
    <t>Authentication, roles, and settings</t>
  </si>
  <si>
    <t>Integrated</t>
  </si>
  <si>
    <t>Counsel</t>
  </si>
  <si>
    <t>Legacy-mapped task</t>
  </si>
  <si>
    <t>Complete</t>
  </si>
  <si>
    <t>P04</t>
  </si>
  <si>
    <t>Legal, trust, and creator onboarding</t>
  </si>
  <si>
    <t>Production-Ready</t>
  </si>
  <si>
    <t>Unassigned</t>
  </si>
  <si>
    <t>Published slice</t>
  </si>
  <si>
    <t>P05</t>
  </si>
  <si>
    <t>Media pipeline and content model</t>
  </si>
  <si>
    <t>N/A</t>
  </si>
  <si>
    <t>Decision</t>
  </si>
  <si>
    <t>P06</t>
  </si>
  <si>
    <t>Payments, subscriptions, tipping, and PPV</t>
  </si>
  <si>
    <t>Exit criterion</t>
  </si>
  <si>
    <t>P07</t>
  </si>
  <si>
    <t>Core end-to-end vertical slice</t>
  </si>
  <si>
    <t>P08</t>
  </si>
  <si>
    <t>Feed, social actions, Store, and Connect</t>
  </si>
  <si>
    <t>P09</t>
  </si>
  <si>
    <t>Real-time messaging and notifications</t>
  </si>
  <si>
    <t>P10</t>
  </si>
  <si>
    <t>Creator dashboard</t>
  </si>
  <si>
    <t>P11</t>
  </si>
  <si>
    <t>Admin and moderation</t>
  </si>
  <si>
    <t>P12</t>
  </si>
  <si>
    <t>Oasis replacement concept (post-launch)</t>
  </si>
  <si>
    <t>P13</t>
  </si>
  <si>
    <t>Internationalization and accessibility</t>
  </si>
  <si>
    <t>P14</t>
  </si>
  <si>
    <t>QA, security, private beta, and launch</t>
  </si>
  <si>
    <t>POST</t>
  </si>
  <si>
    <t>Operating definitions</t>
  </si>
  <si>
    <t>No implementation is underway.</t>
  </si>
  <si>
    <t>Product scope or architecture direction is approved; implementation may be absent. This never means counsel-approved copy, provider approval, or production readiness.</t>
  </si>
  <si>
    <t>Delivery Tracker = current execution state; PLAN.md = scope/dependency architecture; HANDOFF.md = active technical evidence.</t>
  </si>
  <si>
    <t>Dependencies and owner are clear; implementation can start.</t>
  </si>
  <si>
    <t>A visual/client prototype exists without authoritative backend behavior.</t>
  </si>
  <si>
    <t>Daily updates</t>
  </si>
  <si>
    <t>Append one Daily Log row per meaningful work session; never rewrite earlier rows.</t>
  </si>
  <si>
    <t>Work is actively being implemented or verified locally.</t>
  </si>
  <si>
    <t>Backend or infrastructure foundation exists but may not be integrated or deployed.</t>
  </si>
  <si>
    <t>Open PR or review artifact moves work to In Review; green CI alone does not mark it Done.</t>
  </si>
  <si>
    <t>A review artifact exists and awaits review, CI, or approval.</t>
  </si>
  <si>
    <t>The defined slice is connected and regression-tested in the product/repository.</t>
  </si>
  <si>
    <t>Done requires accepted evidence for the defined scope, not a production claim.</t>
  </si>
  <si>
    <t>Progress requires an external decision, dependency, or authority.</t>
  </si>
  <si>
    <t>Deployment, operations, security, legal, and recovery gates are verified.</t>
  </si>
  <si>
    <t>The original Master Tracker and Legacy Overview remain visible and unchanged as historical source snapshots.</t>
  </si>
  <si>
    <t>The defined scope was accepted and verified; this does not automatically mean production-ready.</t>
  </si>
  <si>
    <t>Maturity does not apply to this management/reference row.</t>
  </si>
  <si>
    <t>Historical Year 1 arithmetic corrected to $2,366 on September 6, 2026; old $1,713 retained. Use Launch Budget for current planning.</t>
  </si>
  <si>
    <t>Explicitly outside the current MVP sequence.</t>
  </si>
  <si>
    <t>🗺 Pumdoki Phase Roadmap — PLAN.md Phases 0–14</t>
  </si>
  <si>
    <t>Record progress includes preserved legacy, PLAN, gate, and supplemental records. It is a navigation aid—not phase completion; Phase State is the canonical evidence-based PLAN judgment.</t>
  </si>
  <si>
    <t>PLAN Phase</t>
  </si>
  <si>
    <t>Current Focus</t>
  </si>
  <si>
    <t>Next Exit Gate</t>
  </si>
  <si>
    <t>Exit Criteria Summary</t>
  </si>
  <si>
    <t>Updated</t>
  </si>
  <si>
    <t>Maintain the PLAN-aligned execution tracker, decision register, review queue, and daily debrief history.</t>
  </si>
  <si>
    <t>Assign and maintain owners and next-check dates for remaining active decisions; preserve legacy records.</t>
  </si>
  <si>
    <t>Clean baseline; tracker reflects reality; MVP approved; open decisions have an owner and date.</t>
  </si>
  <si>
    <t>https://github.com/QK-Connoisseur/PDoki/pull/13</t>
  </si>
  <si>
    <t>Maintain routing, shared shell, fixtures, CI, error states, and code splitting.</t>
  </si>
  <si>
    <t>No active gate; preserve regression coverage as product phases integrate real data.</t>
  </si>
  <si>
    <t>Workspace builds; routes and browser navigation work; CI validates lint, tests, builds, and E2E.</t>
  </si>
  <si>
    <t>https://github.com/QK-Connoisseur/PDoki/pull/2</t>
  </si>
  <si>
    <t>PR #13 published the application-owned PostgreSQL worker foundation and fixed non-secret canary; no product flow uses it.</t>
  </si>
  <si>
    <t>Keep Phase 2 partial: staging, restore/backups, monitoring, Redis/shared throttling, general idempotency, and deployment remain open.</t>
  </si>
  <si>
    <t>HTTPS staging; repeatable migrations; backup restoration; monitoring; durable worker foundation reviewed.</t>
  </si>
  <si>
    <t>Maintain the founder-approved reduced core auth/account-security scope.</t>
  </si>
  <si>
    <t>Later Settings domains move only with their dependency phases.</t>
  </si>
  <si>
    <t>Persistent auth; protected routes; API permissions; explicit-content preference persists safely.</t>
  </si>
  <si>
    <t>https://github.com/QK-Connoisseur/PDoki/blob/dev/PLAN.md#7-phase-3--authentication-roles-and-settings</t>
  </si>
  <si>
    <t>Slices 1–4 published; operations dormant. Maryland approval pending. Initial CCBill reply retained; proposed follow-up cancelled. Founder/provider work now accompanies each functional code slice.</t>
  </si>
  <si>
    <t>Resolve business/legal/provider prerequisites in sequence. G1–G12 apply to operations activation, not all synthetic local product work.</t>
  </si>
  <si>
    <t>Counsel-approved policies; secure identity/evidence; publishing blocked until approval; reports are auditable.</t>
  </si>
  <si>
    <t>https://github.com/QK-Connoisseur/PDoki/pull/15</t>
  </si>
  <si>
    <t>Safe photo/video flow now uses private R2 storage. Cloud upload/read, private drafts, publish/feed, ranges, restart persistence and removal are verified. Test accounts only. Hosted review deployment and production media controls remain open.</t>
  </si>
  <si>
    <t>Founder reviews the working local R2 upload/publish flow for this slice. No new signup, paperwork or payment task. Real identity, adult uploads and payments remain disabled. Full P05 exit, deployment and processor approval remain open.</t>
  </si>
  <si>
    <t>Approved creators publish; unauthorized users cannot access originals; takedowns invalidate delivery.</t>
  </si>
  <si>
    <t>HANDOFF.md</t>
  </si>
  <si>
    <t>Provider/site preparation is in progress: CCBill Sales replied, safe-content/R2 milestone is verified and policy drafting is commissioned. Payment backend, webhooks and paid entitlements have not started.</t>
  </si>
  <si>
    <t>Continue functioning-site slices; password protection is permitted for later review. Founder reviews the current local flow. Return to CCBill when review-ready; define the supported payment method before integration.</t>
  </si>
  <si>
    <t>For paid beta flows: trusted payment events, entitlements, earnings, refunds and chargebacks reconcile.</t>
  </si>
  <si>
    <t>Core journey still needs creator, content/access and operations controls. Apply payment dependencies to the chosen beta method.</t>
  </si>
  <si>
    <t>Continue safe test flows. Define the beta payment model with its slice; any paid flow requires processor confirmation, entitlements, auditable earnings and reconciliation.</t>
  </si>
  <si>
    <t>Agreed beta journey passes automated tests without manual DB edits. Paid flows satisfy payment, access and audit controls.</t>
  </si>
  <si>
    <t>https://github.com/QK-Connoisseur/PDoki/blob/dev/PLAN.md#11-phase-7--core-end-to-end-vertical-slice</t>
  </si>
  <si>
    <t>Feed, Store and Connect remain launch scope (online/price/language discovery). Your Activity /activity UI is an explicit example-data preview; real member history remains pending.</t>
  </si>
  <si>
    <t>Integrate content/access, service/order and beta payment rules. Connect Your Activity to authenticated P05/P06/P07 data.</t>
  </si>
  <si>
    <t>Feed actions persist; Store and Your Activity use real account data; creator discovery filters work. Service/order/payment rules separately defined.</t>
  </si>
  <si>
    <t>https://github.com/QK-Connoisseur/PDoki/blob/dev/PLAN.md#12-phase-8--feed-social-actions-store-and-connect</t>
  </si>
  <si>
    <t>Real-time direct chat remains required at launch. Prototype bell/activities do not establish persisted product notifications.</t>
  </si>
  <si>
    <t>Approve conversation/message persistence and WebSocket authorization design.</t>
  </si>
  <si>
    <t>Messages survive reconnect; conversation access is authorized; notifications persist and mark read.</t>
  </si>
  <si>
    <t>https://github.com/QK-Connoisseur/PDoki/blob/dev/PLAN.md#13-phase-9--real-time-messaging-and-notifications</t>
  </si>
  <si>
    <t>Large UI prototype exists; backend data, actions, and financial reconciliation are absent.</t>
  </si>
  <si>
    <t>Connect dashboard modules only after their source domains are implemented.</t>
  </si>
  <si>
    <t>Figures use real data; launch actions work; financial totals reconcile.</t>
  </si>
  <si>
    <t>https://github.com/QK-Connoisseur/PDoki/blob/dev/PLAN.md#14-phase-10--creator-dashboard</t>
  </si>
  <si>
    <t>Dormant operations source remains parked. The next planned P05 test-content flow pairs storage decisions with implementation. No deployment, live payment or identity activation is implied.</t>
  </si>
  <si>
    <t>Evaluate provider, restricted hosting, MFA/recovery, session, permission, audit and deployment controls when activating real operations.</t>
  </si>
  <si>
    <t>Founder operates without DB access; reports/payments/verification are manageable; sensitive access is audited.</t>
  </si>
  <si>
    <t>Old Oasis/Drimy game CANCELLED on September 6, 2026. Name may be reused for day/friend streaks and playful adult language learning.</t>
  </si>
  <si>
    <t>No launch gate. Define the replacement after launch; opt-in roasting and language concept remain unimplemented.</t>
  </si>
  <si>
    <t>Old game exit criteria superseded. Future concept requires its own approved scope.</t>
  </si>
  <si>
    <t>Scattered responsive/accessibility work exists; bilingual core flows and a formal audit remain open.</t>
  </si>
  <si>
    <t>Extract UI copy and scope English/Spanish plus keyboard, focus, contrast, screen-reader, and reduced-motion work.</t>
  </si>
  <si>
    <t>Core flows work in English/Spanish; accessibility audit has no critical failures.</t>
  </si>
  <si>
    <t>https://github.com/QK-Connoisseur/PDoki/blob/dev/PLAN.md#17-phase-13--internationalization-and-accessibility</t>
  </si>
  <si>
    <t>CI/E2E foundations and the deterministic promotion clock fix are published; product E2E, security drills, beta, and launch gates remain open.</t>
  </si>
  <si>
    <t>Verify applicable creator, content, security, recovery and support controls for beta. Paid flows also need processor and payment controls.</t>
  </si>
  <si>
    <t>Restore/security/processor/content/support drills pass; launch gates are satisfied; no critical findings.</t>
  </si>
  <si>
    <t>https://github.com/QK-Connoisseur/PDoki/actions/runs/32535922437</t>
  </si>
  <si>
    <t>Live streaming, advanced recommendations, native apps, crypto, extra themes, and advanced group chat remain deferred.</t>
  </si>
  <si>
    <t>Revisit only after launch stability and core monetization evidence.</t>
  </si>
  <si>
    <t>Not an MVP exit gate.</t>
  </si>
  <si>
    <t>https://github.com/QK-Connoisseur/PDoki/blob/dev/PLAN.md#19-post-mvp</t>
  </si>
  <si>
    <t>🌸 Pumdoki Delivery Tracker — PLAN.md Aligned</t>
  </si>
  <si>
    <t>Canonical execution view. The original Master Tracker remains preserved; use filters for phase, workflow, owner, and review state.</t>
  </si>
  <si>
    <t>Work ID</t>
  </si>
  <si>
    <t>Related Phase(s)</t>
  </si>
  <si>
    <t>Workstream</t>
  </si>
  <si>
    <t>Work Item</t>
  </si>
  <si>
    <t>Waiting On / Reviewer</t>
  </si>
  <si>
    <t>Next Action</t>
  </si>
  <si>
    <t>Next Check</t>
  </si>
  <si>
    <t>Scope / Description</t>
  </si>
  <si>
    <t>Notes / History</t>
  </si>
  <si>
    <t>Legacy Source</t>
  </si>
  <si>
    <t>LEG-MT-005</t>
  </si>
  <si>
    <t>No action; reopen only if the approved scope changes.</t>
  </si>
  <si>
    <t>Preserved Master Tracker row 5; legacy status: ✅ Done</t>
  </si>
  <si>
    <t>LEG-MT-006</t>
  </si>
  <si>
    <t>Preserved Master Tracker row 6; legacy status: ✅ Done</t>
  </si>
  <si>
    <t>LEG-MT-007</t>
  </si>
  <si>
    <t>Preserved Master Tracker row 7; legacy status: ✅ Done</t>
  </si>
  <si>
    <t>LEG-MT-008</t>
  </si>
  <si>
    <t>https://github.com/QK-Connoisseur/PDoki/pull/1</t>
  </si>
  <si>
    <t>Preserved Master Tracker row 8; legacy status: ✅ Done</t>
  </si>
  <si>
    <t>LEG-MT-009</t>
  </si>
  <si>
    <t>Quality, beta &amp; launch readiness</t>
  </si>
  <si>
    <t>Confirm dependencies and owner, then define the first deliverable.</t>
  </si>
  <si>
    <t>Preserved Master Tracker row 9; legacy status: 📋 Not Started</t>
  </si>
  <si>
    <t>LEG-MT-011</t>
  </si>
  <si>
    <t>Legal &amp; compliance</t>
  </si>
  <si>
    <t>Close the remaining gap: Must exist before launch.</t>
  </si>
  <si>
    <t>Suzanne Lawyer hired on Fiverr for the $1,100 policy-document bundle. Draft delivery and review pending.</t>
  </si>
  <si>
    <t>Preserved Master Tracker row 11; legacy status: 🔄 In Progress</t>
  </si>
  <si>
    <t>LEG-MT-012</t>
  </si>
  <si>
    <t>Close the remaining gap: Privacy layers discussed; formal draft needed.</t>
  </si>
  <si>
    <t>Preserved Master Tracker row 12; legacy status: 🔄 In Progress</t>
  </si>
  <si>
    <t>LEG-MT-013</t>
  </si>
  <si>
    <t>Close the remaining gap: Required for moderation consistency.</t>
  </si>
  <si>
    <t>Preserved Master Tracker row 13; legacy status: 🔄 In Progress</t>
  </si>
  <si>
    <t>LEG-MT-014</t>
  </si>
  <si>
    <t>Counsel / founder decision</t>
  </si>
  <si>
    <t>Close the remaining gap: Separates from ToS for clarity and enforcement.</t>
  </si>
  <si>
    <t>Preserved Master Tracker row 14; legacy status: 🔄 In Progress</t>
  </si>
  <si>
    <t>LEG-MT-015</t>
  </si>
  <si>
    <t>Close the remaining gap: Required for content platforms.</t>
  </si>
  <si>
    <t>Preserved Master Tracker row 15; legacy status: 🔄 In Progress</t>
  </si>
  <si>
    <t>LEG-MT-016</t>
  </si>
  <si>
    <t>Close the remaining gap: Federal requirement for adult content platforms.</t>
  </si>
  <si>
    <t>Preserved Master Tracker row 16; legacy status: 🔄 In Progress</t>
  </si>
  <si>
    <t>LEG-MT-017</t>
  </si>
  <si>
    <t>Close the remaining gap: Required for EU visitors; best practice globally.</t>
  </si>
  <si>
    <t>Preserved Master Tracker row 17; legacy status: 🔄 In Progress</t>
  </si>
  <si>
    <t>LEG-MT-018</t>
  </si>
  <si>
    <t>Founder + provider response</t>
  </si>
  <si>
    <t>Close the remaining gap: Required if serving EU users.</t>
  </si>
  <si>
    <t>Preserved Master Tracker row 18; legacy status: 🔄 In Progress</t>
  </si>
  <si>
    <t>LEG-MT-019</t>
  </si>
  <si>
    <t>Close the remaining gap: Required if serving California users.</t>
  </si>
  <si>
    <t>Preserved Master Tracker row 19; legacy status: 🔄 In Progress</t>
  </si>
  <si>
    <t>LEG-MT-020</t>
  </si>
  <si>
    <t>Continue functioning-site and policy preparation alongside the current product slice. Assemble account-specific evidence for later CCBill review.</t>
  </si>
  <si>
    <t>docs/product/initial-ccbill-inquiry.md</t>
  </si>
  <si>
    <t>CCBill Sales replied: a functioning online site is required; password protection is allowed. Site preparation is underway, safe-content/R2 milestone is verified and policy drafting is commissioned. Merchant approval, model eligibility, fees and payouts remain unresolved.</t>
  </si>
  <si>
    <t>Master Tracker row 20; provider preparation reconciled September 10, 2026.</t>
  </si>
  <si>
    <t>LEG-MT-021</t>
  </si>
  <si>
    <t>Creator onboarding &amp; trust</t>
  </si>
  <si>
    <t>Founder + counsel/provider</t>
  </si>
  <si>
    <t>Preserved Master Tracker row 21; legacy status: 📋 Not Started</t>
  </si>
  <si>
    <t>LEG-MT-022</t>
  </si>
  <si>
    <t>Preserved Master Tracker row 22; legacy status: 📋 Not Started</t>
  </si>
  <si>
    <t>LEG-MT-023</t>
  </si>
  <si>
    <t>Close the remaining gap: Trademark timing/classes already considered.</t>
  </si>
  <si>
    <t>Preserved Master Tracker row 23; legacy status: 🔄 In Progress</t>
  </si>
  <si>
    <t>LEG-MT-024</t>
  </si>
  <si>
    <t>Close the remaining gap: Domain strategy already considered.</t>
  </si>
  <si>
    <t>Preserved Master Tracker row 24; legacy status: 🔄 In Progress</t>
  </si>
  <si>
    <t>LEG-MT-025</t>
  </si>
  <si>
    <t>Northwest / founder records</t>
  </si>
  <si>
    <t>Review the approved filing and published address details when Northwest supplies them; actual state approval remains pending.</t>
  </si>
  <si>
    <t>Founder reports Kiban Digital Holdings LLC filed in Maryland through Northwest, awaiting approval. Final published address/privacy details remain unverified. State-comparison task is superseded.</t>
  </si>
  <si>
    <t>Preserved Master Tracker row 25; legacy status: 🔄 In Progress</t>
  </si>
  <si>
    <t>LEG-MT-026</t>
  </si>
  <si>
    <t>Preserved Master Tracker row 26; legacy status: 📋 Not Started</t>
  </si>
  <si>
    <t>LEG-MT-027</t>
  </si>
  <si>
    <t>Await the commissioned draft, then review and approve it before publication or operational reliance.</t>
  </si>
  <si>
    <t>Expense Tracker row 11; founder-confirmed Suzanne Lawyer $1,100 document bundle, including anti-trafficking policy.</t>
  </si>
  <si>
    <t>Drafting commissioned within the purchased policy bundle. Delivery and substantive approval remain pending.</t>
  </si>
  <si>
    <t>Master Tracker row 27; purchased drafting recorded September 10, 2026.</t>
  </si>
  <si>
    <t>LEG-MT-028</t>
  </si>
  <si>
    <t>Preserved Master Tracker row 28; legacy status: 📋 Not Started</t>
  </si>
  <si>
    <t>LEG-MT-029</t>
  </si>
  <si>
    <t>Preserved Master Tracker row 29; legacy status: 📋 Not Started</t>
  </si>
  <si>
    <t>LEG-MT-030</t>
  </si>
  <si>
    <t>Preserved Master Tracker row 30; legacy status: 📋 Not Started</t>
  </si>
  <si>
    <t>LEG-MT-031</t>
  </si>
  <si>
    <t>Preserved Master Tracker row 31; legacy status: 📋 Not Started</t>
  </si>
  <si>
    <t>LEG-MT-032</t>
  </si>
  <si>
    <t>Preserved Master Tracker row 32; legacy status: 📋 Not Started</t>
  </si>
  <si>
    <t>LEG-MT-033</t>
  </si>
  <si>
    <t>Preserved Master Tracker row 33; legacy status: 📋 Not Started</t>
  </si>
  <si>
    <t>LEG-MT-034</t>
  </si>
  <si>
    <t>Preserved Master Tracker row 34; legacy status: 📋 Not Started</t>
  </si>
  <si>
    <t>LEG-MT-036</t>
  </si>
  <si>
    <t>Preserved Master Tracker row 36; legacy status: ✅ Done</t>
  </si>
  <si>
    <t>LEG-MT-037</t>
  </si>
  <si>
    <t>Close the remaining gap: Direction exists; final asset lock not confirmed.</t>
  </si>
  <si>
    <t>Preserved Master Tracker row 37; legacy status: 🔄 In Progress</t>
  </si>
  <si>
    <t>LEG-MT-038</t>
  </si>
  <si>
    <t>Close the remaining gap: Draft messaging exists; final copy not confirmed.</t>
  </si>
  <si>
    <t>Preserved Master Tracker row 38; legacy status: 🔄 In Progress</t>
  </si>
  <si>
    <t>LEG-MT-039</t>
  </si>
  <si>
    <t>Preserved Master Tracker row 39; legacy status: ✅ Done</t>
  </si>
  <si>
    <t>LEG-MT-040</t>
  </si>
  <si>
    <t>Close the remaining gap: Implied by active UI/front-end development.</t>
  </si>
  <si>
    <t>Preserved Master Tracker row 40; legacy status: 🔄 In Progress</t>
  </si>
  <si>
    <t>LEG-MT-041</t>
  </si>
  <si>
    <t>Close the remaining gap: Responsive work remains active.</t>
  </si>
  <si>
    <t>Preserved Master Tracker row 41; legacy status: 🔄 In Progress</t>
  </si>
  <si>
    <t>LEG-MT-042</t>
  </si>
  <si>
    <t>Browser-local static theme scope is complete. Account-synced preferences remain separate future work.</t>
  </si>
  <si>
    <t>0f01961 (#19); apps/web/src/appearance/memberThemeContext.js; MemberThemeProvider.test.jsx; staticBackgroundAssets.test.js; README.md</t>
  </si>
  <si>
    <t>Published implementation; switching and saved preference restoration are tested. Static asset tests cover desktop/mobile JPGs and absence of background video. Internal DARK_KNIGHT key is retained for stored-preference compatibility.</t>
  </si>
  <si>
    <t>Master Tracker row 42; theme completion reconciled September 10, 2026.</t>
  </si>
  <si>
    <t>LEG-MT-043</t>
  </si>
  <si>
    <t>P10, P11</t>
  </si>
  <si>
    <t>Payments &amp; entitlements</t>
  </si>
  <si>
    <t>Define founder badge and a fee that recovers attributable costs without profit on founding creator sales. Duration, covered costs and no-loss economics need validation.</t>
  </si>
  <si>
    <t>Founder answers reviewed September 6, 2026: processing-fees-only superseded. Two contacts may recruit 50–100 prospects, not commitments. Longer target ~500; Plus/top 100 rewards remain provisional.</t>
  </si>
  <si>
    <t>Preserved Master Tracker row 43; legacy status: 📋 Not Started</t>
  </si>
  <si>
    <t>LEG-MT-045</t>
  </si>
  <si>
    <t>Preserved Master Tracker row 45; legacy status: ✅ Done</t>
  </si>
  <si>
    <t>LEG-MT-046</t>
  </si>
  <si>
    <t>Broader storage scope remains: signed delivery, CDN caching, retention/garbage collection and recovery/production hardening.</t>
  </si>
  <si>
    <t>HANDOFF.md lines 120–151; docs/architecture/phase5-local-content-flow.md; apps/api/src/content/r2.ts; 86 targeted tests and both R2 browser checks passed.</t>
  </si>
  <si>
    <t>R2 activated ($0 due), private review bucket created, Public Access Disabled. Safe PNG/MP4 uploads, authenticated API reads, restart persistence, removal and browser checks passed. Adult-business acceptance unconfirmed; not production-ready.</t>
  </si>
  <si>
    <t>Master Tracker row 46; safe-sample R2 milestone reconciled September 10, 2026.</t>
  </si>
  <si>
    <t>LEG-MT-047</t>
  </si>
  <si>
    <t>Close the remaining gap: Local PostgreSQL/Prisma includes User, Session, append-only AcceptanceRecord, VerificationToken, UserPreference, CreatorApplication, creator-policy acceptance, and constrained successful-transition review evidence.</t>
  </si>
  <si>
    <t>Model users, creators, posts, subscriptions, plans, transactions and moderation as needed.</t>
  </si>
  <si>
    <t>Preserved Master Tracker row 47; legacy status: 🔄 In Progress</t>
  </si>
  <si>
    <t>LEG-MT-048</t>
  </si>
  <si>
    <t>Close the remaining gap: Local validated environments plus Docker PostgreSQL/Mailpit exist.</t>
  </si>
  <si>
    <t>https://github.com/QK-Connoisseur/PDoki/pull/3</t>
  </si>
  <si>
    <t>Preserved Master Tracker row 48; legacy status: 🔄 In Progress</t>
  </si>
  <si>
    <t>LEG-MT-049</t>
  </si>
  <si>
    <t>Close the remaining gap: Implemented /api/v1 health/readiness, auth/email, /me, protected Settings/session, and member creator-application flows.</t>
  </si>
  <si>
    <t>Preserved Master Tracker row 49; legacy status: 🔄 In Progress</t>
  </si>
  <si>
    <t>LEG-MT-050</t>
  </si>
  <si>
    <t>Close the remaining gap: Structured Pino request logging, request IDs, and secret-header redaction are implemented.</t>
  </si>
  <si>
    <t>Preserved Master Tracker row 50; legacy status: 🔄 In Progress</t>
  </si>
  <si>
    <t>LEG-MT-051</t>
  </si>
  <si>
    <t>Preserved Master Tracker row 51; legacy status: 📋 Not Started</t>
  </si>
  <si>
    <t>LEG-MT-052</t>
  </si>
  <si>
    <t>Close the remaining gap: Global per-IP limits plus bounded in-memory login and email-request throttles are implemented.</t>
  </si>
  <si>
    <t>Preserved Master Tracker row 52; legacy status: 🔄 In Progress</t>
  </si>
  <si>
    <t>LEG-MT-053</t>
  </si>
  <si>
    <t>Close the remaining gap: CI runs formatting, lint, web/API tests and builds, migrations/seed, private-admin build, and real-stack Playwright with read-only token permissions and bounded timeouts.</t>
  </si>
  <si>
    <t>Preserved Master Tracker row 53; legacy status: 🔄 In Progress</t>
  </si>
  <si>
    <t>LEG-MT-054</t>
  </si>
  <si>
    <t>Preserved Master Tracker row 54; legacy status: 📋 Not Started</t>
  </si>
  <si>
    <t>LEG-MT-056</t>
  </si>
  <si>
    <t>Preserved Master Tracker row 56; legacy status: ✅ Done</t>
  </si>
  <si>
    <t>LEG-MT-057</t>
  </si>
  <si>
    <t>Preserved Master Tracker row 57; legacy status: ✅ Done</t>
  </si>
  <si>
    <t>LEG-MT-058</t>
  </si>
  <si>
    <t>Preserved Master Tracker row 58; legacy status: ✅ Done</t>
  </si>
  <si>
    <t>LEG-MT-059</t>
  </si>
  <si>
    <t>Close the remaining gap: A verified MEMBER can submit one persisted creator application; it remains PENDING with identity NOT_STARTED and no role promotion or Dashboard access.</t>
  </si>
  <si>
    <t>Preserved Master Tracker row 59; legacy status: 🔄 In Progress</t>
  </si>
  <si>
    <t>LEG-MT-060</t>
  </si>
  <si>
    <t>Close the remaining gap: Registration records append-only age attestation and versioned Terms/Privacy acceptance; verified email gates creator-application submission.</t>
  </si>
  <si>
    <t>Preserved Master Tracker row 60; legacy status: 🔄 In Progress</t>
  </si>
  <si>
    <t>LEG-MT-061</t>
  </si>
  <si>
    <t>Preserved Master Tracker row 61; legacy status: ✅ Done</t>
  </si>
  <si>
    <t>LEG-MT-062</t>
  </si>
  <si>
    <t>Preserved Master Tracker row 62; legacy status: ✅ Done</t>
  </si>
  <si>
    <t>LEG-MT-064</t>
  </si>
  <si>
    <t>Preserved Master Tracker row 64; legacy status: ✅ Done</t>
  </si>
  <si>
    <t>LEG-MT-065</t>
  </si>
  <si>
    <t>Close the remaining gap: Auth/landing split screen complete.</t>
  </si>
  <si>
    <t>Preserved Master Tracker row 65; legacy status: 🔄 In Progress</t>
  </si>
  <si>
    <t>LEG-MT-066</t>
  </si>
  <si>
    <t>Close the remaining gap: Profile page designed.</t>
  </si>
  <si>
    <t>Preserved Master Tracker row 66; legacy status: 🔄 In Progress</t>
  </si>
  <si>
    <t>LEG-MT-067</t>
  </si>
  <si>
    <t>Preserved Master Tracker row 67; legacy status: ✅ Done</t>
  </si>
  <si>
    <t>LEG-MT-068</t>
  </si>
  <si>
    <t>Close the remaining gap: Part of the active front-end build.</t>
  </si>
  <si>
    <t>Preserved Master Tracker row 68; legacy status: 🔄 In Progress</t>
  </si>
  <si>
    <t>LEG-MT-069</t>
  </si>
  <si>
    <t>Preserved Master Tracker row 69; legacy status: ✅ Done</t>
  </si>
  <si>
    <t>LEG-MT-070</t>
  </si>
  <si>
    <t>Preserved Master Tracker row 70; legacy status: ✅ Done</t>
  </si>
  <si>
    <t>LEG-MT-071</t>
  </si>
  <si>
    <t>Close the remaining gap: Locked preview UI exists; backend entitlement and protected media delivery remain.</t>
  </si>
  <si>
    <t>Preserved Master Tracker row 71; legacy status: 🔄 In Progress</t>
  </si>
  <si>
    <t>LEG-MT-072</t>
  </si>
  <si>
    <t>Close the remaining gap: Tier visuals exist.</t>
  </si>
  <si>
    <t>Preserved Master Tracker row 72; legacy status: 🔄 In Progress</t>
  </si>
  <si>
    <t>LEG-MT-073</t>
  </si>
  <si>
    <t>Close the remaining gap: Launch-critical.</t>
  </si>
  <si>
    <t>Preserved Master Tracker row 73; legacy status: 🔄 In Progress</t>
  </si>
  <si>
    <t>LEG-MT-074</t>
  </si>
  <si>
    <t>Build persisted creator discovery with online, price and language filters. Service/order terms need separate definition.</t>
  </si>
  <si>
    <t>Connect is a creator discovery/explore page. It does not itself imply an automated scheduling, booking or fulfillment system.</t>
  </si>
  <si>
    <t>Founder clarified September 6, 2026. Old full-booking interpretation superseded; launch discovery remains required.</t>
  </si>
  <si>
    <t>Preserved Master Tracker row 74; legacy status: 🔄 In Progress</t>
  </si>
  <si>
    <t>LEG-MT-075</t>
  </si>
  <si>
    <t>Close the remaining gap: Chat UI prototype exists.</t>
  </si>
  <si>
    <t>Preserved Master Tracker row 75; legacy status: 🔄 In Progress</t>
  </si>
  <si>
    <t>LEG-MT-077</t>
  </si>
  <si>
    <t>P05, P08</t>
  </si>
  <si>
    <t>Close the remaining gap: Default-hidden preference persistence and protected Settings opt-in/immediate opt-out are implemented and CI-verified.</t>
  </si>
  <si>
    <t>Preserved Master Tracker row 77; legacy status: 🔄 In Progress</t>
  </si>
  <si>
    <t>LEG-MT-078</t>
  </si>
  <si>
    <t>P01, P04, P06, P09</t>
  </si>
  <si>
    <t>Close the remaining gap: Protected Settings is implemented for display name, email/reverification, password, active sessions, and explicit-content preference.</t>
  </si>
  <si>
    <t>Preserved Master Tracker row 78; legacy status: 🔄 In Progress</t>
  </si>
  <si>
    <t>LEG-MT-079</t>
  </si>
  <si>
    <t>Preserved Master Tracker row 79; legacy status: 📋 Not Started</t>
  </si>
  <si>
    <t>LEG-MT-080</t>
  </si>
  <si>
    <t>P03, P05, P06, P07</t>
  </si>
  <si>
    <t>Connect authenticated API and persisted member history after P05/P06/P07. Replace example data when real event sources exist.</t>
  </si>
  <si>
    <t>apps/web/src/pages/ActivityPage.jsx; ActivityPage.test.jsx; tests/e2e/activity.spec.js; PLAN.md §12.</t>
  </si>
  <si>
    <t>Promoted from Post-MVP to P08. /activity preview provides search/category filters and sidebar/header Your Activity links. Example data is explicitly labeled; authenticated account data, API and persistence remain pending. Focused UI tests passed.</t>
  </si>
  <si>
    <t>Master Tracker row 80; promoted to P08 September 10, 2026. Former duplicate Backlog row 14 cleared.</t>
  </si>
  <si>
    <t>LEG-MT-081</t>
  </si>
  <si>
    <t>Preserved Master Tracker row 81; legacy status: ✅ Done</t>
  </si>
  <si>
    <t>LEG-MT-082</t>
  </si>
  <si>
    <t>Preserved Master Tracker row 82; legacy status: ✅ Done</t>
  </si>
  <si>
    <t>LEG-MT-083</t>
  </si>
  <si>
    <t>Preserved Master Tracker row 83; legacy status: ✅ Done</t>
  </si>
  <si>
    <t>LEG-MT-084</t>
  </si>
  <si>
    <t>Close the remaining gap: Large UI prototype exists.</t>
  </si>
  <si>
    <t>Preserved Master Tracker row 84; legacy status: 🔄 In Progress</t>
  </si>
  <si>
    <t>LEG-MT-085</t>
  </si>
  <si>
    <t>Add a checkmark, a follow buttom, re-arrenge For You / Following and flip sides, add logic to For You (X inspired),</t>
  </si>
  <si>
    <t>Preserved Master Tracker row 85; legacy status: ✅ Done</t>
  </si>
  <si>
    <t>LEG-MT-087</t>
  </si>
  <si>
    <t>Targeted review during relevant slice</t>
  </si>
  <si>
    <t>Local ContentPost/MediaAsset model implemented. Broader content/access design remains In Review. Review revisions, paid audiences and production eligibility before live sensitive use.</t>
  </si>
  <si>
    <t>docs/architecture/phase5-slice1-content-model-and-access-design.md</t>
  </si>
  <si>
    <t>Safe test posts persist locally with sealed bodies/media identities. No paid offers or real creator eligibility. Full content/access design and human review remain open.</t>
  </si>
  <si>
    <t>Preserved Master Tracker row 87; legacy status: 📋 Not Started</t>
  </si>
  <si>
    <t>LEG-MT-088</t>
  </si>
  <si>
    <t>Founder review of working local R2 flow</t>
  </si>
  <si>
    <t>Review safe photo/video upload, draft reload, publish/member read and removal in the local preview. R2 account, credentials and private access are verified. No deployment or processor approval is implied.</t>
  </si>
  <si>
    <t>R2 PNG/MP4 API and browser paths passed, including image display/video playback, private drafts, publish/ranges and removal. API restart preserved posts/session/identical bytes. Public access disabled. All 5 test objects deleted and absence checked. HANDOFF.md.</t>
  </si>
  <si>
    <t>Preserved Master Tracker row 88; legacy status: 📋 Not Started</t>
  </si>
  <si>
    <t>LEG-MT-089</t>
  </si>
  <si>
    <t>Local per-request authorization and draft privacy are tested. Review remaining paid entitlements, explicit content and live eligibility before enabling those flows.</t>
  </si>
  <si>
    <t>Local member reads require an active verified test session. Removal/suspension revoke media access. Disabled by default and rejected in production. Real identity, adult uploads and money remain unavailable.</t>
  </si>
  <si>
    <t>Preserved Master Tracker row 89; legacy status: 📋 Not Started</t>
  </si>
  <si>
    <t>LEG-MT-090</t>
  </si>
  <si>
    <t>Preserved Master Tracker row 90; legacy status: 📋 Not Started</t>
  </si>
  <si>
    <t>LEG-MT-091</t>
  </si>
  <si>
    <t>Preserved Master Tracker row 91; legacy status: 📋 Not Started</t>
  </si>
  <si>
    <t>LEG-MT-092</t>
  </si>
  <si>
    <t>Private operations &amp; moderation</t>
  </si>
  <si>
    <t>Private-operations security gates</t>
  </si>
  <si>
    <t>Preserved Master Tracker row 92; legacy status: 📋 Not Started</t>
  </si>
  <si>
    <t>LEG-MT-094</t>
  </si>
  <si>
    <t>Build the functioning review site through the current slices. Return to CCBill when review-ready; merchant approval and technical payment integration remain future work.</t>
  </si>
  <si>
    <t>docs/product/initial-ccbill-inquiry.md; PLAN.md §21; HANDOFF.md safe-content/R2 verification.</t>
  </si>
  <si>
    <t>CCBill is the intended primary processor. Sales/site preparation is underway. Formal merchant approval, API/webhooks and subscription billing remain unimplemented.</t>
  </si>
  <si>
    <t>Inquiry sent and Sales reply received. CCBill requires a fully functioning online site, which may be password protected. The site is being built; no review-ready site, approved account or payment backend is claimed.</t>
  </si>
  <si>
    <t>Master Tracker row 94; preparation stage reconciled September 10, 2026.</t>
  </si>
  <si>
    <t>LEG-MT-095</t>
  </si>
  <si>
    <t>After core policies/entity details are ready, discuss Epoch fit and any fallback design. Do not implement until the account-specific model is confirmed.</t>
  </si>
  <si>
    <t>CCBill review-site preparation is underway. Epoch is an intended fallback only; outreach, approval and integration have not started.</t>
  </si>
  <si>
    <t>Preserved Master Tracker row 95; legacy status: 📋 Not Started</t>
  </si>
  <si>
    <t>LEG-MT-096</t>
  </si>
  <si>
    <t>Obtain written technical/commercial confirmation from both processors before implementing cascade routing.</t>
  </si>
  <si>
    <t>CCBill review-site preparation is underway. No Epoch outreach or account-specific cascade approval is evidenced; routing is unimplemented.</t>
  </si>
  <si>
    <t>Preserved Master Tracker row 96; legacy status: 📋 Not Started</t>
  </si>
  <si>
    <t>LEG-MT-097</t>
  </si>
  <si>
    <t>Agree the processor-supported payment flow and obtain the required account setup before implementing billing and trusted payment events.</t>
  </si>
  <si>
    <t>CCBill review-site preparation is underway. Recurring billing and payment-webhook handling are not implemented.</t>
  </si>
  <si>
    <t>Preserved Master Tracker row 97; legacy status: 📋 Not Started</t>
  </si>
  <si>
    <t>LEG-MT-098</t>
  </si>
  <si>
    <t>Preserved Master Tracker row 98; legacy status: 📋 Not Started</t>
  </si>
  <si>
    <t>LEG-MT-099</t>
  </si>
  <si>
    <t>Preserved Master Tracker row 99; legacy status: 📋 Not Started</t>
  </si>
  <si>
    <t>LEG-MT-100</t>
  </si>
  <si>
    <t>Preserved Master Tracker row 100; legacy status: 📋 Not Started</t>
  </si>
  <si>
    <t>LEG-MT-102</t>
  </si>
  <si>
    <t>Preserved Master Tracker row 102; legacy status: 📋 Not Started</t>
  </si>
  <si>
    <t>LEG-MT-103</t>
  </si>
  <si>
    <t>Define account-specific dispute rules and trusted events, then implement the workflow with private-operations authorization and audit.</t>
  </si>
  <si>
    <t>CCBill review-site preparation is underway. Processor dispute integration and operational handling remain unimplemented.</t>
  </si>
  <si>
    <t>Preserved Master Tracker row 103; legacy status: 📋 Not Started</t>
  </si>
  <si>
    <t>LEG-MT-104</t>
  </si>
  <si>
    <t>Preserved Master Tracker row 104; legacy status: 📋 Not Started</t>
  </si>
  <si>
    <t>LEG-MT-106</t>
  </si>
  <si>
    <t>Close the remaining gap: An independently buildable apps/admin shell, public /admin removal, a dormant injected-verifier API seam, and a non-secret readiness packet are merged.</t>
  </si>
  <si>
    <t>Preserved Master Tracker row 106; legacy status: 🔄 In Progress</t>
  </si>
  <si>
    <t>LEG-MT-107</t>
  </si>
  <si>
    <t>Preserved Master Tracker row 107; legacy status: 📋 Not Started</t>
  </si>
  <si>
    <t>LEG-MT-108</t>
  </si>
  <si>
    <t>Preserved Master Tracker row 108; legacy status: 📋 Not Started</t>
  </si>
  <si>
    <t>LEG-MT-109</t>
  </si>
  <si>
    <t>Close the remaining gap: Application submission/persistence and dormant server-side NEEDS_INFORMATION/REJECTED transitions with successful-transition evidence are merged.</t>
  </si>
  <si>
    <t>Preserved Master Tracker row 109; legacy status: 🔄 In Progress</t>
  </si>
  <si>
    <t>LEG-MT-110</t>
  </si>
  <si>
    <t>Preserved Master Tracker row 110; legacy status: 📋 Not Started</t>
  </si>
  <si>
    <t>LEG-MT-111</t>
  </si>
  <si>
    <t>Preserved Master Tracker row 111; legacy status: 📋 Not Started</t>
  </si>
  <si>
    <t>LEG-MT-112</t>
  </si>
  <si>
    <t>Implement trusted transactions/earnings/payout records and private-operations controls before connecting the admin view.</t>
  </si>
  <si>
    <t>CCBill review-site preparation is underway. Payment/payout backend and this operations view remain unimplemented.</t>
  </si>
  <si>
    <t>Preserved Master Tracker row 112; legacy status: 📋 Not Started</t>
  </si>
  <si>
    <t>LEG-MT-113</t>
  </si>
  <si>
    <t>Confirm processor dispute events and account-specific thresholds before implementing alerts and audited responses.</t>
  </si>
  <si>
    <t>CCBill review-site preparation is underway. No chargeback webhook integration or operational dashboard is implemented.</t>
  </si>
  <si>
    <t>Preserved Master Tracker row 113; legacy status: 📋 Not Started</t>
  </si>
  <si>
    <t>LEG-MT-115</t>
  </si>
  <si>
    <t>Preserved Master Tracker row 115; legacy status: 📋 Not Started</t>
  </si>
  <si>
    <t>LEG-MT-116</t>
  </si>
  <si>
    <t>Preserved Master Tracker row 116; legacy status: 📋 Not Started</t>
  </si>
  <si>
    <t>LEG-MT-117</t>
  </si>
  <si>
    <t>Preserved Master Tracker row 117; legacy status: 📋 Not Started</t>
  </si>
  <si>
    <t>LEG-MT-118</t>
  </si>
  <si>
    <t>Preserved Master Tracker row 118; legacy status: 📋 Not Started</t>
  </si>
  <si>
    <t>LEG-MT-120</t>
  </si>
  <si>
    <t>Preserved Master Tracker row 120; legacy status: 📋 Not Started</t>
  </si>
  <si>
    <t>LEG-MT-121</t>
  </si>
  <si>
    <t>Preserved Master Tracker row 121; legacy status: 📋 Not Started</t>
  </si>
  <si>
    <t>LEG-MT-122</t>
  </si>
  <si>
    <t>Preserved Master Tracker row 122; legacy status: 📋 Not Started</t>
  </si>
  <si>
    <t>LEG-MT-123</t>
  </si>
  <si>
    <t>Preserved Master Tracker row 123; legacy status: 📋 Not Started</t>
  </si>
  <si>
    <t>LEG-MT-124</t>
  </si>
  <si>
    <t>P03, P04, P06</t>
  </si>
  <si>
    <t>Close the remaining gap: Provider-neutral console/SMTP delivery, local Mailpit, and verification/password-reset messages are implemented.</t>
  </si>
  <si>
    <t>Preserved Master Tracker row 124; legacy status: 🔄 In Progress</t>
  </si>
  <si>
    <t>LEG-MT-126</t>
  </si>
  <si>
    <t>Preserved Master Tracker row 126; legacy status: 📋 Not Started</t>
  </si>
  <si>
    <t>LEG-MT-127</t>
  </si>
  <si>
    <t>Preserved Master Tracker row 127; legacy status: 📋 Not Started</t>
  </si>
  <si>
    <t>LEG-MT-128</t>
  </si>
  <si>
    <t>Preserved Master Tracker row 128; legacy status: 📋 Not Started</t>
  </si>
  <si>
    <t>LEG-MT-129</t>
  </si>
  <si>
    <t>Preserved Master Tracker row 129; legacy status: 📋 Not Started</t>
  </si>
  <si>
    <t>LEG-MT-130</t>
  </si>
  <si>
    <t>Preserved Master Tracker row 130; legacy status: 📋 Not Started</t>
  </si>
  <si>
    <t>LEG-MT-131</t>
  </si>
  <si>
    <t>Preserved Master Tracker row 131; legacy status: 📋 Not Started</t>
  </si>
  <si>
    <t>LEG-MT-132</t>
  </si>
  <si>
    <t>Close the remaining gap: Needed before public launch.</t>
  </si>
  <si>
    <t>Marketing tool to build audience, recruit our first creators, and create a community.</t>
  </si>
  <si>
    <t>Preserved Master Tracker row 132; legacy status: 🔄 In Progress</t>
  </si>
  <si>
    <t>LEG-MT-134</t>
  </si>
  <si>
    <t>Close the remaining gap: Repository checks and real-stack browser coverage are established, including merged routing, auth, Settings, and creator-application flows.</t>
  </si>
  <si>
    <t>Preserved Master Tracker row 134; legacy status: 🔄 In Progress</t>
  </si>
  <si>
    <t>LEG-MT-135</t>
  </si>
  <si>
    <t>Define beta testing and its payment method with the relevant functional slice. No payment implementation alternative is selected.</t>
  </si>
  <si>
    <t>Launch features and live-use controls remain applicable. Beta payment method is unresolved.</t>
  </si>
  <si>
    <t>Preserved Master Tracker row 135; legacy status: 📋 Not Started</t>
  </si>
  <si>
    <t>LEG-MT-136</t>
  </si>
  <si>
    <t>Preserved Master Tracker row 136; legacy status: 📋 Not Started</t>
  </si>
  <si>
    <t>LEG-MT-137</t>
  </si>
  <si>
    <t>Preserved Master Tracker row 137; legacy status: 📋 Not Started</t>
  </si>
  <si>
    <t>LEG-MT-138</t>
  </si>
  <si>
    <t>Test the agreed implemented payment flow in the appropriate provider test environment. Include cascade only after written confirmation.</t>
  </si>
  <si>
    <t>CCBill review-site preparation is underway. No payment integration exists to test yet; no passing payment tests are claimed.</t>
  </si>
  <si>
    <t>Preserved Master Tracker row 138; legacy status: 📋 Not Started</t>
  </si>
  <si>
    <t>LEG-MT-139</t>
  </si>
  <si>
    <t>Preserved Master Tracker row 139; legacy status: 📋 Not Started</t>
  </si>
  <si>
    <t>LEG-MT-140</t>
  </si>
  <si>
    <t>Preserved Master Tracker row 140; legacy status: 📋 Not Started</t>
  </si>
  <si>
    <t>LEG-MT-141</t>
  </si>
  <si>
    <t>Preserved Master Tracker row 141; legacy status: 📋 Not Started</t>
  </si>
  <si>
    <t>LEG-MT-145</t>
  </si>
  <si>
    <t>Define tipping funding with the beta payment method and processor terms.</t>
  </si>
  <si>
    <t>Tipping/Send Love remains launch scope. Paid flows need idempotent payment evidence, creator earnings and refund controls.</t>
  </si>
  <si>
    <t>Historically moved from backlog into launch scope. Beta payment method remains unresolved.</t>
  </si>
  <si>
    <t>Preserved Master Tracker row 145; legacy status: 📋 Not Started</t>
  </si>
  <si>
    <t>LEG-MT-146</t>
  </si>
  <si>
    <t>Define PPV funding with the beta payment method and processor terms. Preserve durable entitlements and reconciliation.</t>
  </si>
  <si>
    <t>Unlock individual photos/videos or bundles using the agreed beta payment method, with durable asset-level entitlements.</t>
  </si>
  <si>
    <t>Historically moved from backlog into launch scope. Payment method remains unresolved.</t>
  </si>
  <si>
    <t>Preserved Master Tracker row 146; legacy status: 📋 Not Started</t>
  </si>
  <si>
    <t>LEG-MT-147</t>
  </si>
  <si>
    <t>Preserved Master Tracker row 147; legacy status: 📋 Not Started</t>
  </si>
  <si>
    <t>LEG-MT-148</t>
  </si>
  <si>
    <t>Close the remaining gap: UI prototype exists; backend and payment integration remain.</t>
  </si>
  <si>
    <t>Preserved Master Tracker row 148; legacy status: 🔄 In Progress</t>
  </si>
  <si>
    <t>LEG-MT-149</t>
  </si>
  <si>
    <t>Preserved Master Tracker row 149; legacy status: 🔄 In Progress</t>
  </si>
  <si>
    <t>LEG-MT-150</t>
  </si>
  <si>
    <t>Oasis/Drimy launch implementation</t>
  </si>
  <si>
    <t>CANCELLED: old Oasis / Drimy game</t>
  </si>
  <si>
    <t>Cancelled by founder</t>
  </si>
  <si>
    <t>Do not implement this legacy game. Future streak/language concept is separate and post-launch.</t>
  </si>
  <si>
    <t>Cancelled September 6, 2026. Historical specification retained in Scope/Description and preserved Master Tracker. This is not a launch dependency.</t>
  </si>
  <si>
    <t>Preserved Master Tracker row 150; legacy status: 🔄 In Progress</t>
  </si>
  <si>
    <t>LEG-MT-151</t>
  </si>
  <si>
    <t>CANCELLED: old Oasis game collectibles</t>
  </si>
  <si>
    <t>Preserved Master Tracker row 151; legacy status: 📋 Not Started</t>
  </si>
  <si>
    <t>LEG-MT-152</t>
  </si>
  <si>
    <t>Preserved Master Tracker row 152; legacy status: 🔄 In Progress</t>
  </si>
  <si>
    <t>LEG-MT-153</t>
  </si>
  <si>
    <t>Preserved Master Tracker row 153; legacy status: 📋 Not Started</t>
  </si>
  <si>
    <t>LEG-MT-154</t>
  </si>
  <si>
    <t>P06, P13</t>
  </si>
  <si>
    <t>Preserved Master Tracker row 154; legacy status: 📋 Not Started</t>
  </si>
  <si>
    <t>LEG-MT-155</t>
  </si>
  <si>
    <t>Preserved Master Tracker row 155; legacy status: 📋 Not Started</t>
  </si>
  <si>
    <t>LEG-MT-156</t>
  </si>
  <si>
    <t>Preserved Master Tracker row 156; legacy status: 📋 Not Started</t>
  </si>
  <si>
    <t>LEG-MT-157</t>
  </si>
  <si>
    <t>Preserved Master Tracker row 157; legacy status: 📋 Not Started</t>
  </si>
  <si>
    <t>LEG-MT-158</t>
  </si>
  <si>
    <t>Complete Maryland LLC formation</t>
  </si>
  <si>
    <t>Northwest / state approval</t>
  </si>
  <si>
    <t>Await Maryland approval and approved documents. Filing is reported complete; exact filing date/ID, EIN, bank setup and actual invoice remain unverified.</t>
  </si>
  <si>
    <t>Maryland LLC selected and filing reported by founder for Kiban Digital Holdings LLC through Northwest. Record approved filing and address details once returned.</t>
  </si>
  <si>
    <t>Founder reported filing complete September 8, 2026; this is the report date, not a verified filing date. State approval pending. Filing ID and actual cost were not supplied.</t>
  </si>
  <si>
    <t>Preserved Master Tracker row 158; legacy status: 📋 Not Started</t>
  </si>
  <si>
    <t>LEG-MT-159</t>
  </si>
  <si>
    <t>Preserved Master Tracker row 159; legacy status: 📋 Not Started</t>
  </si>
  <si>
    <t>LEG-MT-160</t>
  </si>
  <si>
    <t>Close the remaining gap: A separate apps/admin shell, dormant injected-verifier review seam, and merged non-secret G1–G12 readiness packet exist.</t>
  </si>
  <si>
    <t>Preserved Master Tracker row 160; legacy status: 🔄 In Progress</t>
  </si>
  <si>
    <t>LEG-MT-161</t>
  </si>
  <si>
    <t>Close the remaining gap: TypeScript API/contracts/database foundations now cover auth, protected Settings, creator applications, and the dormant review seam; frontend conversion remains incremental.</t>
  </si>
  <si>
    <t>Preserved Master Tracker row 161; legacy status: 🔄 In Progress</t>
  </si>
  <si>
    <t>LEG-MT-162</t>
  </si>
  <si>
    <t>Publish truthful prototype cleanup with the next approved website release. Final legal/contact copy follows counsel approval and operational proof.</t>
  </si>
  <si>
    <t>https://github.com/QK-Connoisseur/PDoki/commit/56cb0adaffa4896aa9d54257b4eecfe18804bb54</t>
  </si>
  <si>
    <t>Prototype legal claims and unconfigured production-looking contacts corrected and pushed to dev in 56cb0ad. Final CI/main publication evidence is in HANDOFF.md. A source merge does not deploy the website or establish final policies.</t>
  </si>
  <si>
    <t>Preserved Master Tracker row 162; legacy status: 📋 Not Started</t>
  </si>
  <si>
    <t>LEG-MT-163</t>
  </si>
  <si>
    <t>Close the remaining gap: Public member registration exists, while creator applications remain PENDING and identity NOT_STARTED.</t>
  </si>
  <si>
    <t>Preserved Master Tracker row 163; legacy status: 🔄 In Progress</t>
  </si>
  <si>
    <t>LEG-MT-164</t>
  </si>
  <si>
    <t>Obtain written account-specific technical and commercial confirmation from CCBill and Epoch before any fallback implementation.</t>
  </si>
  <si>
    <t>CCBill Sales has replied and site preparation is underway. Epoch outreach and cascade confirmation remain pending.</t>
  </si>
  <si>
    <t>Preserved Master Tracker row 164; legacy status: 📋 Not Started</t>
  </si>
  <si>
    <t>P00-T03</t>
  </si>
  <si>
    <t>Tracker &amp; scope control</t>
  </si>
  <si>
    <t>Reclassify the tracker to PLAN.md Phases 0–14</t>
  </si>
  <si>
    <t>Use the PLAN-aligned tracker as the operating view and keep owners, dates, evidence, and daily debriefs current.</t>
  </si>
  <si>
    <t>Make PLAN.md the phase source of truth and separate workflow from maturity.</t>
  </si>
  <si>
    <t>Published through PR #13. No legacy task, note, backlog item, assumption, or expense value was deleted.</t>
  </si>
  <si>
    <t>PLAN.md Phase 0 task 3</t>
  </si>
  <si>
    <t>P02-T11</t>
  </si>
  <si>
    <t>Durable async work</t>
  </si>
  <si>
    <t>Add a background-job queue</t>
  </si>
  <si>
    <t>Keep the foundation canary-only while deployment, monitoring, Redis/shared throttling, general idempotency, and product-flow migrations remain separately gated.</t>
  </si>
  <si>
    <t>Production-shaped durable job migration, separate worker process, leases, retry, terminal handling, telemetry, and a fixed canary.</t>
  </si>
  <si>
    <t>Published through PR #13 as a foundation only; no product flow, provider, deployment, or live credentials were added.</t>
  </si>
  <si>
    <t>PLAN.md Phase 2 task 11</t>
  </si>
  <si>
    <t>P02-T12A</t>
  </si>
  <si>
    <t>Prove canary-specific idempotency and lease fencing</t>
  </si>
  <si>
    <t>Treat this as canary-specific evidence only; design the reusable consequential-operation idempotency framework in a separately approved slice.</t>
  </si>
  <si>
    <t>Canary-specific idempotency proof supporting the durable worker foundation.</t>
  </si>
  <si>
    <t>Published through PR #13. This does not implement the reusable product-wide idempotency framework.</t>
  </si>
  <si>
    <t>Supports PLAN.md Phase 2 task 12</t>
  </si>
  <si>
    <t>P02-T12B</t>
  </si>
  <si>
    <t>Idempotency</t>
  </si>
  <si>
    <t>Add a reusable general idempotency framework</t>
  </si>
  <si>
    <t>Separate implementation approval</t>
  </si>
  <si>
    <t>Define the first consequential product operation only after the worker foundation is reviewed and merged.</t>
  </si>
  <si>
    <t>https://github.com/QK-Connoisseur/PDoki/blob/dev/docs/architecture/phase2-async-work-throttling-idempotency.md</t>
  </si>
  <si>
    <t>PostgreSQL-backed durable idempotency with explicit in-progress/completed recovery semantics.</t>
  </si>
  <si>
    <t>PR #13 proves only a non-secret canary and does not authorize product-flow migration.</t>
  </si>
  <si>
    <t>PLAN.md Phase 2 task 12</t>
  </si>
  <si>
    <t>P02-T10R</t>
  </si>
  <si>
    <t>Shared throttling</t>
  </si>
  <si>
    <t>Implement Redis-backed shared throttling with bounded outage behavior</t>
  </si>
  <si>
    <t>Separate implementation approval + topology decision</t>
  </si>
  <si>
    <t>Define exact route thresholds and the approved outage fallback before adding Redis.</t>
  </si>
  <si>
    <t>Redis is limited to shared throttling and ephemeral coordination; unlimited outage behavior is prohibited.</t>
  </si>
  <si>
    <t>No Redis dependency or shared store is included in PR #13.</t>
  </si>
  <si>
    <t>Completes PLAN.md Phase 2 task 10 across replicas</t>
  </si>
  <si>
    <t>P02-NET-001</t>
  </si>
  <si>
    <t>Local security</t>
  </si>
  <si>
    <t>Bind local PostgreSQL host exposure to IPv4 loopback</t>
  </si>
  <si>
    <t>Preserve the 127.0.0.1-only local default; deployed network controls and restricted credentials remain separate gates.</t>
  </si>
  <si>
    <t>Reduce LAN exposure of the local static-development database credential.</t>
  </si>
  <si>
    <t>Published through PR #13 as local-only hardening; no staging or production configuration changed.</t>
  </si>
  <si>
    <t>PR #13 supplemental hardening</t>
  </si>
  <si>
    <t>P04-S1</t>
  </si>
  <si>
    <t>Publish the creator-application submission foundation</t>
  </si>
  <si>
    <t>Preserve the PENDING-only, no-role-promotion boundary until later trust and legal gates are approved.</t>
  </si>
  <si>
    <t>https://github.com/QK-Connoisseur/PDoki/commit/ce6c9e4</t>
  </si>
  <si>
    <t>Verified members can submit one persisted creator application with versioned prototype acceptances recorded atomically.</t>
  </si>
  <si>
    <t>Published Phase 4 Slice 1; no identity files, approval, creator role promotion, or Dashboard access.</t>
  </si>
  <si>
    <t>PLAN.md Phase 4 published foundation</t>
  </si>
  <si>
    <t>P04-S2</t>
  </si>
  <si>
    <t>Publish the dormant non-approval review-transition foundation</t>
  </si>
  <si>
    <t>Keep the router unmounted and APPROVED/role-promotion behavior absent until the documented activation gates are satisfied.</t>
  </si>
  <si>
    <t>Persist strict non-approval review transitions and immutable reviewer evidence in one transaction.</t>
  </si>
  <si>
    <t>Published Phase 4 Slice 2 foundation; deliberately not an operational admin workflow.</t>
  </si>
  <si>
    <t>P07-E2E-001</t>
  </si>
  <si>
    <t>P04, P05, P06</t>
  </si>
  <si>
    <t>Core vertical slice</t>
  </si>
  <si>
    <t>Complete the member-to-creator end-to-end product flow</t>
  </si>
  <si>
    <t>Phase 4–6 dependencies</t>
  </si>
  <si>
    <t>Continue controlled test slices. Real beta needs applicable creator/content/access/operations controls. Paid flows also need processor evidence and reconciliation.</t>
  </si>
  <si>
    <t>Member discovers an eligible creator and accesses authorized content with auditable records. Purchases and tips follow the beta payment method, still unresolved.</t>
  </si>
  <si>
    <t>Phase 7 remains incomplete. Payment, entitlement, earnings and refund controls remain necessary for paid beta flows.</t>
  </si>
  <si>
    <t>PLAN.md Phase 7 exit gate</t>
  </si>
  <si>
    <t>P14-QA-001</t>
  </si>
  <si>
    <t>Deterministic E2E</t>
  </si>
  <si>
    <t>Make promotion material E2E independent of calendar date</t>
  </si>
  <si>
    <t>Keep calendar-dependent fixtures under an explicit test clock and retain the real-stack Playwright regression.</t>
  </si>
  <si>
    <t>Freeze the test clock without changing product or fixture behavior.</t>
  </si>
  <si>
    <t>Published through PR #13 after exact-head and post-merge CI passed; no product or fixture behavior changed.</t>
  </si>
  <si>
    <t>PR #13 CI repair</t>
  </si>
  <si>
    <t>P04-OPS-001</t>
  </si>
  <si>
    <t>Verify signed private-operations assertions</t>
  </si>
  <si>
    <t>Preserve the dormant boundary. Additional operations work is parked; production activation requires its applicable controls.</t>
  </si>
  <si>
    <t>Provider-neutral signed assertion verification for the dormant private-operations boundary.</t>
  </si>
  <si>
    <t>Slice 3 merged through PR #15. Local foundation completed; public router remains unmounted. No operational approval, role promotion, identity collection or deployment.</t>
  </si>
  <si>
    <t>Supports PLAN Phase 4 and the Phase 11 private-operations dependency.</t>
  </si>
  <si>
    <t>P04-OPS-002</t>
  </si>
  <si>
    <t>Enforce explicit operator provisioning and transaction-time authorization</t>
  </si>
  <si>
    <t>Database-owned operator identity and permission evidence for dormant non-approval reviews.</t>
  </si>
  <si>
    <t>P04-OPS-003</t>
  </si>
  <si>
    <t>Verify the dormant private request-integrity boundary</t>
  </si>
  <si>
    <t>Test-only request-integrity composition and safe audit evidence for the unmounted operations router.</t>
  </si>
  <si>
    <t>🔎 Pumdoki Review &amp; Blocker Queue</t>
  </si>
  <si>
    <t>Focused view derived from Delivery Tracker. Update the canonical source row there; use this sheet for daily review and blocker triage.</t>
  </si>
  <si>
    <t>DEC-CCBILL</t>
  </si>
  <si>
    <t>Payments and payouts</t>
  </si>
  <si>
    <t>Cancelled clarification follow-up only</t>
  </si>
  <si>
    <t>Do not send this cancelled follow-up</t>
  </si>
  <si>
    <t>Deferred applies only to this cancelled clarification. CCBill Sales/site preparation is in progress; the current founder task remains local content-flow review. Account-specific approval and payment integration remain unresolved.</t>
  </si>
  <si>
    <t>DEC-LEGAL-UI-TRUTH</t>
  </si>
  <si>
    <t>Truthful prototype copy</t>
  </si>
  <si>
    <t>Release verified legal UI cleanup</t>
  </si>
  <si>
    <t>Approved website release</t>
  </si>
  <si>
    <t>Cleanup source is pushed to dev in 56cb0ad. Deploy in an approved website release; final counsel policies and actual processes remain future work. CI/main evidence is in HANDOFF.md.</t>
  </si>
  <si>
    <t>P04-S4-RECONCILE</t>
  </si>
  <si>
    <t>Branch reconciliation</t>
  </si>
  <si>
    <t>Slice 4 source published to dev</t>
  </si>
  <si>
    <t>PR #17 merged through dev 56cb0ad, preserving 317abda/25057bd ancestry. Final CI and main-publication evidence is in HANDOFF.md; no deployment or operations activation is implied.</t>
  </si>
  <si>
    <t>https://github.com/QK-Connoisseur/PDoki/pull/17</t>
  </si>
  <si>
    <t>Applicable beta flow dependencies</t>
  </si>
  <si>
    <t>Continue safe test slices. Beta payment method is unresolved. Paid flows still need processor, entitlement, earnings, refund and reconciliation controls.</t>
  </si>
  <si>
    <t>Content and access design</t>
  </si>
  <si>
    <t>Review P05 Slice 1 local design</t>
  </si>
  <si>
    <t>Broader design remains In Review. The local safe-content slice is implemented and under verification. Targeted review is still required before live sensitive use. No P05 exit, deployment or provider approval is claimed.</t>
  </si>
  <si>
    <t>📅 Pumdoki Daily Progress Log</t>
  </si>
  <si>
    <t>Append one row per meaningful work session. This is the history behind the plain-language debrief; never rewrite earlier entries.</t>
  </si>
  <si>
    <t>Date</t>
  </si>
  <si>
    <t>Goal</t>
  </si>
  <si>
    <t>What Changed</t>
  </si>
  <si>
    <t>Why It Matters</t>
  </si>
  <si>
    <t>What Did Not Change</t>
  </si>
  <si>
    <t>Verification / Evidence</t>
  </si>
  <si>
    <t>Status After</t>
  </si>
  <si>
    <t>Approval / Blocker</t>
  </si>
  <si>
    <t>Next Step</t>
  </si>
  <si>
    <t>Logged By</t>
  </si>
  <si>
    <t>Build a reliable local worker foundation.</t>
  </si>
  <si>
    <t>Added the PostgreSQL durable-job foundation, separate worker process, lease fencing, retry/terminal behavior, aggregate telemetry, and a fixed non-secret canary in draft PR #13.</t>
  </si>
  <si>
    <t>Later asynchronous product work can use a reviewed durable base instead of ad-hoc request-time delivery.</t>
  </si>
  <si>
    <t>No product flow, provider, deployment, Redis, live credentials, email/token migration, payment, identity or creator-review activation.</t>
  </si>
  <si>
    <t>https://github.com/QK-Connoisseur/PDoki/pull/13 — baseline exact-head CI run 32442777168 passed before this tracker update; fresh CI is required.</t>
  </si>
  <si>
    <t>Merge remains separately gated.</t>
  </si>
  <si>
    <t>Review the updated PR and require fresh exact-head CI.</t>
  </si>
  <si>
    <t>Codex</t>
  </si>
  <si>
    <t>Remove a calendar-date E2E failure.</t>
  </si>
  <si>
    <t>Fixed the promotion-material Playwright test to use a fixed clock before navigation.</t>
  </si>
  <si>
    <t>The test no longer fails when promotion fixtures pass their wall-clock expiry date.</t>
  </si>
  <si>
    <t>No application or fixture behavior changed.</t>
  </si>
  <si>
    <t>Fresh CI required after the tracker commit.</t>
  </si>
  <si>
    <t>Confirm all three PR checks pass on the new head.</t>
  </si>
  <si>
    <t>Make the tracker match PLAN.md and support daily debriefs.</t>
  </si>
  <si>
    <t>Mapped all 148 legacy tasks into PLAN Phases 0–14, added stable IDs, roadmap/decision/daily views, and preserved the legacy tracker and notes.</t>
  </si>
  <si>
    <t>Founder and engineering can now see current work, review state, blockers, maturity, evidence, and next actions without reading every technical record.</t>
  </si>
  <si>
    <t>No legacy task, note, backlog item, assumption, or expense value was deleted or silently changed.</t>
  </si>
  <si>
    <t>Founder review; merge separately gated.</t>
  </si>
  <si>
    <t>Use the new Delivery Tracker and Daily Log as the operating views.</t>
  </si>
  <si>
    <t>Publish and reconcile the Phase 2 worker foundation.</t>
  </si>
  <si>
    <t>PR #13 merged into dev as 6311522 from reviewed head 8a8688f; post-merge CI 32535922437 passed all three jobs, and the five scoped tracker records moved from In Review to Done.</t>
  </si>
  <si>
    <t>The durable canary foundation and PLAN-aligned tracker are now published, and the operating views accurately separate completed evidence from the remaining Phase 2 and Phase 4 gates.</t>
  </si>
  <si>
    <t>No product flow, provider, Redis store, deployment, live credential, creator approval, role promotion, or private-operations activation was added.</t>
  </si>
  <si>
    <t>https://github.com/QK-Connoisseur/PDoki/pull/13 · https://github.com/QK-Connoisseur/PDoki/actions/runs/32535922437</t>
  </si>
  <si>
    <t>Any new implementation and this reconciliation branch's publication remain separately gated.</t>
  </si>
  <si>
    <t>Seek a separate decision on the Phase 4 private-operations identity/access design and local verification scope.</t>
  </si>
  <si>
    <t>Build a dormant private-operations identity/access foundation.</t>
  </si>
  <si>
    <t>Added strict signed-assertion verification, DB-owned exact operator mappings and permission grants, transaction-time reauthorization, request-integrity seams, immutable history protections, and direct-peer/redacted audit evidence.</t>
  </si>
  <si>
    <t>The next operations review work can be evaluated against production-shaped local trust-boundary primitives instead of trusting injected identities or caller-supplied permissions.</t>
  </si>
  <si>
    <t>The review router remains unmounted. No APPROVED transition, role promotion, identity collection/files, live provider or issuer, operations session/server, private origin, runtime DB roles, deployment, or live configuration was added; G1–G12 remain NOT EVALUATED.</t>
  </si>
  <si>
    <t>https://github.com/QK-Connoisseur/PDoki/blob/codex/phase4-private-ops-access-foundation/docs/architecture/phase4-slice3-private-operations-access-foundation.md · implementation commit 9904334 · 287 API / 166 web / 24 contracts / 15 focused DB-review tests</t>
  </si>
  <si>
    <t>Draft-PR publication is authorized; merge and every activation/deployment step remain separately gated.</t>
  </si>
  <si>
    <t>Publish the draft PR, require exact-head CI, and review the dormant trust boundary without activation.</t>
  </si>
  <si>
    <t>DEC-SEQUENTIAL</t>
  </si>
  <si>
    <t>Record founder launch corrections and funding limits.</t>
  </si>
  <si>
    <t>Retained Connect discovery, real-time chat and tipping; cancelled the old Oasis game; recorded post-launch streak concept, provisional founding/Plus offers and staged cash budget.</t>
  </si>
  <si>
    <t>The next founder task is the initial business definition, with no spending required.</t>
  </si>
  <si>
    <t>No provider selected, public benefit promised, purchase made, deployment or activation authorized by this budget.</t>
  </si>
  <si>
    <t>Founder decision, September 6, 2026; Launch Budget; Decision Register</t>
  </si>
  <si>
    <t>Qualified service quotes and commercial terms remain open.</t>
  </si>
  <si>
    <t>Complete the one-page initial business definition.</t>
  </si>
  <si>
    <t>Draft P05 Slice 1 content model and access rules.</t>
  </si>
  <si>
    <t>Prepared a local content/revision/media/offer model, lifecycle, access rules and synthetic acceptance cases. Definition tasks LEG-MT-087 and LEG-MT-089 are In Review.</t>
  </si>
  <si>
    <t>Creates a concrete design for review before the first protected-media implementation.</t>
  </si>
  <si>
    <t>No contracts, migrations, API routes, worker handlers or UI changed. P05 backend and phase exits remain unfinished; no upload, payment or live operations activated.</t>
  </si>
  <si>
    <t>Scoped human technical review remains pending.</t>
  </si>
  <si>
    <t>Review the design. Founder still awaits the sent CCBill inquiry response and Maryland formation approval.</t>
  </si>
  <si>
    <t>🔐 Pumdoki Decision &amp; Dependency Register</t>
  </si>
  <si>
    <t>Founder, legal, provider, and infrastructure decisions that block or constrain delivery. Targets are management review dates, not legal deadlines.</t>
  </si>
  <si>
    <t>Decision ID</t>
  </si>
  <si>
    <t>Decision / Dependency</t>
  </si>
  <si>
    <t>Target</t>
  </si>
  <si>
    <t>Current State</t>
  </si>
  <si>
    <t>DEC-AWS-STAGING</t>
  </si>
  <si>
    <t>AWS staging shape and account access</t>
  </si>
  <si>
    <t>Deployment shape, credentials boundary, and approval remain undecided.</t>
  </si>
  <si>
    <t>Review the provider-neutral staging matrix and explicitly approve a staging-only shape.</t>
  </si>
  <si>
    <t>https://github.com/QK-Connoisseur/PDoki/tree/dev/docs/operations</t>
  </si>
  <si>
    <t>DEC-MONITORING</t>
  </si>
  <si>
    <t>Sentry or equivalent</t>
  </si>
  <si>
    <t>Provider, environment separation, PII minimization, retention, alerting, and cost remain undecided.</t>
  </si>
  <si>
    <t>Select a provider only after reviewing the scorecard and data boundaries.</t>
  </si>
  <si>
    <t>DEC-ASYNC-ARCH</t>
  </si>
  <si>
    <t>Redis, queue, and idempotency architecture</t>
  </si>
  <si>
    <t>PostgreSQL is durable truth; Redis is limited to shared throttling/ephemeral coordination; unlimited outage behavior is prohibited.</t>
  </si>
  <si>
    <t>Preserve the ADR constraints during implementation.</t>
  </si>
  <si>
    <t>DEC-WORKER-PR13</t>
  </si>
  <si>
    <t>Application-owned worker foundation review</t>
  </si>
  <si>
    <t>PR #13 merged into dev as 6311522 from reviewed head 8a8688f; exact-head and post-merge CI passed all three jobs.</t>
  </si>
  <si>
    <t>Preserve the fixed-canary and no-product-flow boundary; treat every further Phase 2 implementation or deployment step as separately gated.</t>
  </si>
  <si>
    <t>DEC-EMAIL</t>
  </si>
  <si>
    <t>Transactional email provider</t>
  </si>
  <si>
    <t>Local Mailpit and provider-neutral mail exist. Production startup correctly fails closed without approved delivery.</t>
  </si>
  <si>
    <t>Choose email after entity, processor fit, country/data boundaries and funded staging scope are known. Configure and test sender authentication, bounce handling and delivery before external account flows.</t>
  </si>
  <si>
    <t>DEC-LLC</t>
  </si>
  <si>
    <t>Maryland LLC filed; approval pending</t>
  </si>
  <si>
    <t>Kiban Digital Holdings LLC is reported filed in Maryland through Northwest; state approval pending. Founder confirmed $196 total paid, recorded in Expense Tracker. Filing ID, EIN and bank readiness remain unverified.</t>
  </si>
  <si>
    <t>Await Maryland approval and approved documents; record invoice when available. Continue the planned P05 test-content flow while handling only the founder/provider decisions that slice needs.</t>
  </si>
  <si>
    <t>Founder reports: filing/inquiry sent September 8; CCBill Sales reply supplied September 9; $196 formation total confirmed September 10. State approval and exact correspondence times remain unverified.</t>
  </si>
  <si>
    <t>Preliminary CCBill model fit and costs</t>
  </si>
  <si>
    <t>CCBill Sales replied: fully functioning online site required; password protection allowed. Site work is underway, including verified safe-content/R2 flow and commissioned policies. Model fit, fees/reserves, payouts and approval remain open.</t>
  </si>
  <si>
    <t>Keep the current founder step: review the working local content flow. Continue site slices and return to Sales when review-ready. The clarification follow-up remains cancelled; payment backend is not implemented.</t>
  </si>
  <si>
    <t>User-pasted CCBill Sales reply supplied September 9, 2026; sender timestamp not verified. docs/product/initial-ccbill-inquiry.md</t>
  </si>
  <si>
    <t>DEC-IDENTITY</t>
  </si>
  <si>
    <t>Identity-verification shortlist</t>
  </si>
  <si>
    <t>Provider/manual-beta choice, DPA, retention, countries, and security are open.</t>
  </si>
  <si>
    <t>Compare two or three providers and a controlled manual-beta boundary.</t>
  </si>
  <si>
    <t>DEC-EPOCH</t>
  </si>
  <si>
    <t>Epoch terms and written cascade behavior</t>
  </si>
  <si>
    <t>Commercial and technical fallback behavior is unconfirmed.</t>
  </si>
  <si>
    <t>Obtain written account-specific confirmation before implementation.</t>
  </si>
  <si>
    <t>DEC-COUNTRIES</t>
  </si>
  <si>
    <t>Initial launch country allowlist</t>
  </si>
  <si>
    <t>Operating location is confirmed as Maryland, USA. Creator/member countries remain unanswered; eligibility and service coverage remain unresolved.</t>
  </si>
  <si>
    <t>Use CCBill eligibility to narrow proposed creator/member countries. Obtain targeted legal review of unresolved country obligations before real launch.</t>
  </si>
  <si>
    <t>docs/product/initial-business-definition.md — founder answers reviewed September 6, 2026</t>
  </si>
  <si>
    <t>DEC-ECONOMICS</t>
  </si>
  <si>
    <t>Commission, payout and refund economics</t>
  </si>
  <si>
    <t>Founder corrected the offer: Pumdoki should recover costs without profit on founding creator sales. Processing-fees-only is superseded. Duration, fee allocation and no-loss economics are unproven.</t>
  </si>
  <si>
    <t>Validate processor costs, refunds, chargebacks, reserves and payout allocation before quoting fees. No-loss economics remain unproven.</t>
  </si>
  <si>
    <t>DEC-RETENTION</t>
  </si>
  <si>
    <t>Acceptance/evidence retention schedule</t>
  </si>
  <si>
    <t>Retention, pseudonymization, lawful deletion, and litigation hold are undecided.</t>
  </si>
  <si>
    <t>Obtain counsel-approved rules before deletion or operational creator onboarding.</t>
  </si>
  <si>
    <t>DEC-OPS-ACCESS</t>
  </si>
  <si>
    <t>Private-admin restricted access and hardware MFA</t>
  </si>
  <si>
    <t>Slice 3 merged in PR #15. Provider-neutral dormant foundation exists; no operational provider/session/hosting activation. G1–G12 remain NOT EVALUATED.</t>
  </si>
  <si>
    <t>Operations work remains parked. Next is the planned P05 test-content flow, pairing storage decisions with code. Actual spending, deployment and live sensitive-use controls remain.</t>
  </si>
  <si>
    <t>DEC-GWS-PRIVACY</t>
  </si>
  <si>
    <t>Google Workspace recovery-contact privacy</t>
  </si>
  <si>
    <t>Repository-safe checklist exists; private live review and independent recovery test remain.</t>
  </si>
  <si>
    <t>Review private directory/recovery surfaces and test backup access without recording personal data in Git.</t>
  </si>
  <si>
    <t>QC-EXPENSE-Y1</t>
  </si>
  <si>
    <t>Expense Tracker Year 1 formula review</t>
  </si>
  <si>
    <t>Corrected historical Year 1 arithmetic: 1,980 + 170 + 18 × 12 = 2,366. The old 1,713 is retained in Expense Tracker B38. Historical cost assumptions are superseded.</t>
  </si>
  <si>
    <t>Use Launch Budget for current cash planning; replace allowances with accepted quotes in sequence.</t>
  </si>
  <si>
    <t>Expense Tracker B33:B40; Launch Budget</t>
  </si>
  <si>
    <t>Initial business definition and sequential workflow</t>
  </si>
  <si>
    <t>Business definition reviewed; founder works one functional slice at a time. Necessary founder/provider decisions accompany that slice rather than preceding all code as a paperwork phase.</t>
  </si>
  <si>
    <t>R2 setup and safe-media integration verified. Next: founder reviews the working local upload/publish flow. No new provider signup, paperwork or payment task. Adult-content provider acceptance and hosted deployment remain unconfirmed.</t>
  </si>
  <si>
    <t>September 9, 2026: credential preflight, real R2 API/browser photo/video tests, Cloudflare Public Access Disabled, restart and cleanup checks passed. Evidence: HANDOFF.md. Token expiry and budget alert are not verified.</t>
  </si>
  <si>
    <t>DEC-LAUNCH-SCOPE</t>
  </si>
  <si>
    <t>Discovery, real-time chat and tipping remain launch scope</t>
  </si>
  <si>
    <t>Connect is creator discovery filtered by online status, price and language. Real-time chat and tipping remain required.</t>
  </si>
  <si>
    <t>Other confirmed launch scope remains. No automated booking expansion is implied.</t>
  </si>
  <si>
    <t>Founder decision, September 6, 2026</t>
  </si>
  <si>
    <t>DEC-OASIS-CANCEL</t>
  </si>
  <si>
    <t>Cancel the old Oasis/Drimy game</t>
  </si>
  <si>
    <t>The collectible pet/game, XP, Orbs, evolution, inventory and reward economy are cancelled. Historical prototype records are retained.</t>
  </si>
  <si>
    <t>Do not build the old game or count it as a launch gate.</t>
  </si>
  <si>
    <t>DEC-OASIS-NEW</t>
  </si>
  <si>
    <t>Future streaks and playful language concept</t>
  </si>
  <si>
    <t>Oasis name may be reused for day/friend streaks and playful adult language/profanity learning, including optional roasting. This is a future concept, not the old game.</t>
  </si>
  <si>
    <t>Define after launch. No implementation, paid randomized mechanics or new launch gate is approved.</t>
  </si>
  <si>
    <t>DEC-FOUNDING-OFFER</t>
  </si>
  <si>
    <t>Founding creator acquisition and benefits</t>
  </si>
  <si>
    <t>Two contacts could help recruit 50–100 creators; these are prospects, not commitments. Founder badge and cost recovery with no profit on founder sales remain the direction. About 500 is a longer target.</t>
  </si>
  <si>
    <t>Define first-cohort eligibility, countries, duration and cost allocation after counsel/processor fit. No-loss economics and Plus/top 100 benefits remain unproven.</t>
  </si>
  <si>
    <t>DEC-PLUS-IDEAS</t>
  </si>
  <si>
    <t>Plus rewards, leaderboard and visual feedback</t>
  </si>
  <si>
    <t>Top 100 free Plus memberships, leaderboard, avatar decoration, animations, sounds and lively marketing are ideas. No reward cost/duration or entitlement promise is approved.</t>
  </si>
  <si>
    <t>Revisit after core launch economics. Keep static themes; motion needs separate accessibility/performance review.</t>
  </si>
  <si>
    <t>Founder direction, September 6, 2026</t>
  </si>
  <si>
    <t>DEC-CASH-20260906</t>
  </si>
  <si>
    <t>Frugal staged budget</t>
  </si>
  <si>
    <t>Founder now reports a $1,800 monthly ceiling and proposed recruiter/helper $300–$400/month. Inclusion in that ceiling and overlap with budget backup allowance are unconfirmed. Earlier cash assumptions remain.</t>
  </si>
  <si>
    <t>Founder confirmed $196 Northwest formation and $1,100 policy drafting purchased on September 10. Actuals recorded in Expense Tracker; allowances unchanged. Monthly funding/helper overlap remains unresolved.</t>
  </si>
  <si>
    <t>Founder funding statements September 6 and purchase confirmations September 10, 2026</t>
  </si>
  <si>
    <t>DEC-HUMAN-REVIEW</t>
  </si>
  <si>
    <t>Human review timing and limited scopes</t>
  </si>
  <si>
    <t>Use DIY work, suitable Fiverr specialists and drafts to control cost. Necessary legal work uses a qualified lawyer reviewing the actual model. Record the reviewed version, corrections and remaining limitations.</t>
  </si>
  <si>
    <t>Use targeted reviews alongside relevant implementation and before live sensitive use. Controlled test implementation does not wait for blanket paid pre-code review. Independent integrated assessment and retest remain before real launch.</t>
  </si>
  <si>
    <t>Founder correction, September 9, 2026: cancel proposed CCBill follow-up; develop functioning slices with relevant founder/provider work alongside code. PLAN.md §9 and §20</t>
  </si>
  <si>
    <t>Truthful prototype legal UI and production replacement</t>
  </si>
  <si>
    <t>Truthful prototype legal cleanup is pushed to dev in 56cb0ad. Local web219, contracts24, non-database API273 and builds passed. Production policies and processes remain unfinished.</t>
  </si>
  <si>
    <t>Ship truthful placeholder copy with the next approved website release. Before public launch, counsel approves final policies and operators verify actual contacts/processes; deployment is separate from a Git merge.</t>
  </si>
  <si>
    <t>Pumdoki launch budget</t>
  </si>
  <si>
    <t>September 10, 2026</t>
  </si>
  <si>
    <t>USD. Planning allowances, not quotes or permission to spend. Founder labor is unpaid.</t>
  </si>
  <si>
    <t>Funding and cash needs</t>
  </si>
  <si>
    <t>Lower case</t>
  </si>
  <si>
    <t>Upper case</t>
  </si>
  <si>
    <t>Meaning</t>
  </si>
  <si>
    <t>Available now</t>
  </si>
  <si>
    <t>Earlier total-cash assumption retained. New user-reported $1,800 monthly ceiling is not lump-sum cash or funded runway; sustainability is unconfirmed.</t>
  </si>
  <si>
    <t>Possible additional cash</t>
  </si>
  <si>
    <t>Uncommitted over coming months; excluded from funded cash.</t>
  </si>
  <si>
    <t>Funded cash</t>
  </si>
  <si>
    <t>Uses current cash only.</t>
  </si>
  <si>
    <t>Setup incl. contingency</t>
  </si>
  <si>
    <t>Includes discovery, scoped reviews, initial verification and first-year card registration benchmark.</t>
  </si>
  <si>
    <t>Monthly operating allowance</t>
  </si>
  <si>
    <t>Small invited pilot; excludes transaction-linked expenses and annual renewals already paid in setup.</t>
  </si>
  <si>
    <t>Runway months</t>
  </si>
  <si>
    <t>Planning input; revenue is not assumed to cover costs.</t>
  </si>
  <si>
    <t>Operating runway</t>
  </si>
  <si>
    <t>Monthly allowance × runway months.</t>
  </si>
  <si>
    <t>Working cash buffer</t>
  </si>
  <si>
    <t>Ring-fenced cash, not an expense or provider deposit quote. Does not cover an unknown processor reserve.</t>
  </si>
  <si>
    <t>Baseline cash target</t>
  </si>
  <si>
    <t>Setup + runway + working cash. Unknown deposits, processing/usage excesses, tax, insurance and professional requirements can raise this.</t>
  </si>
  <si>
    <t>Gap using current cash</t>
  </si>
  <si>
    <t>Positive amount needs more funding or a lower quoted scope before activation.</t>
  </si>
  <si>
    <t>Gap if full $10k becomes funded</t>
  </si>
  <si>
    <t>Uses maximum current $5,000 + possible $5,000 later. Sensitivity only; additional cash is uncommitted.</t>
  </si>
  <si>
    <t>Next: review the working local R2 flow</t>
  </si>
  <si>
    <t>R2 connection verified. $0 was due at activation only; subsequent usage is metered. Proposed $5/month budget is not a hard cap. Budget-alert setup is unverified.</t>
  </si>
  <si>
    <t>Low case is not a launch quote</t>
  </si>
  <si>
    <t>Pilot counts remain planning assumptions. Two contacts may help recruit 50–100 creators; no committed cohort or creator/member countries were supplied.</t>
  </si>
  <si>
    <t>Setup and review allowances</t>
  </si>
  <si>
    <t>When / basis</t>
  </si>
  <si>
    <t>Targeted legal advice allowance</t>
  </si>
  <si>
    <t>Optional scoped advice for unresolved material issues. This allowance is separate from the purchased policy-document drafting bundle. Amount unchanged.</t>
  </si>
  <si>
    <t>Targeted tax / accounting advice</t>
  </si>
  <si>
    <t>Use when a specific tax or accounting question needs professional advice. Founder reports LLC filed; state approval pending. Unquoted allowance unchanged.</t>
  </si>
  <si>
    <t>Initial advice allowances subtotal</t>
  </si>
  <si>
    <t>Reserve for necessary questions. This is not a required discovery purchase or a commitment to spend.</t>
  </si>
  <si>
    <t>Entity, domain and admin setup</t>
  </si>
  <si>
    <t>Founder confirmed $196 total paid to Northwest for Kiban Digital Holdings LLC. Maryland approval pending. Actual is in Expense Tracker; this planning allowance is unchanged.</t>
  </si>
  <si>
    <t>Legal document drafting / review</t>
  </si>
  <si>
    <t>Suzanne Lawyer on Fiverr hired for the $1,100 policy-document bundle. Delivery and substantive approval pending. Actual is in Expense Tracker; planning allowance unchanged.</t>
  </si>
  <si>
    <t>Scoped architecture review</t>
  </si>
  <si>
    <t>Targeted backend/security review accompanies relevant code and precedes live sensitive use. No blanket paid pre-code review gate for controlled test implementation. Unquoted allowance unchanged.</t>
  </si>
  <si>
    <t>Integrated security review + retest</t>
  </si>
  <si>
    <t>Before real users, IDs, creator content or money. Independent scoped assessment of integrated system; quote may exceed allowance.</t>
  </si>
  <si>
    <t>Visa high-risk annual registration</t>
  </si>
  <si>
    <t>CCBill published benchmark, subject to account/region/category confirmation. First year included; renews annually.</t>
  </si>
  <si>
    <t>Mastercard high-risk annual fee</t>
  </si>
  <si>
    <t>CCBill US/Canada published benchmark; EU/UK page lists $500. Actual entity and underwriting determine applicability.</t>
  </si>
  <si>
    <t>Initial creator verification batch</t>
  </si>
  <si>
    <t>MAX(monthly minimum, invited creators × per-check allowance). Before the three operating months; repeats and extra performers add cost.</t>
  </si>
  <si>
    <t>Fiverr buyer fee on tech reviews</t>
  </si>
  <si>
    <t>5.5% of the two technical review allowances. No split orders or purchases under $200 assumed; taxes extra.</t>
  </si>
  <si>
    <t>Incremental setup subtotal</t>
  </si>
  <si>
    <t>Excludes discovery subtotal. Professional service figures are allowances only.</t>
  </si>
  <si>
    <t>Setup before contingency</t>
  </si>
  <si>
    <t>Discovery + incremental setup.</t>
  </si>
  <si>
    <t>Contingency rate</t>
  </si>
  <si>
    <t>Planning allowance for scoped remediation and quote variance; not a completeness guarantee.</t>
  </si>
  <si>
    <t>Contingency amount</t>
  </si>
  <si>
    <t>Setup including contingency</t>
  </si>
  <si>
    <t>Founder coding time, household expenses and existing AI subscriptions excluded.</t>
  </si>
  <si>
    <t>Monthly pilot allowance</t>
  </si>
  <si>
    <t>What is included / unresolved</t>
  </si>
  <si>
    <t>Compute, database, storage, backups</t>
  </si>
  <si>
    <t>Planning allowance for small staging/production footprint. No free-tier expiry assumption. Actual service shape and adult-content terms unselected.</t>
  </si>
  <si>
    <t>Email and monitoring tools</t>
  </si>
  <si>
    <t>Allowance only. Choose provider later after business/provider fit and before external auth flows; no provider selected.</t>
  </si>
  <si>
    <t>Bookkeeping / annual admin provision</t>
  </si>
  <si>
    <t>Cash planning for records, filings and later tax advice; actual taxes and insurance are unpriced.</t>
  </si>
  <si>
    <t>Identity provider monthly minimum</t>
  </si>
  <si>
    <t>Benchmark only, not provider selection. Additional member age checks, new creators, rechecks and retention add variable cost.</t>
  </si>
  <si>
    <t>Paid moderation / support backup</t>
  </si>
  <si>
    <t>Proposed Discord recruiter/helper: $300–$400/month. Inclusion in $1,800 ceiling and overlap with this $100–$600 backup allowance are unconfirmed; no amount added. Scope/coverage remain unverified.</t>
  </si>
  <si>
    <t>Beyond pilot volume or founder capacity, replace with a staffing and usage quote before expanding.</t>
  </si>
  <si>
    <t>Annual card renewal after year one</t>
  </si>
  <si>
    <t>Already included in first-year setup; reserve for later renewal separately as dates become known.</t>
  </si>
  <si>
    <t>Variable cost and cash obligations</t>
  </si>
  <si>
    <t>Processor rate, fixed fees, refunds, chargebacks, payout/FX fees, member age checks, media processing/moderation and usage excesses: request quotes; no zero-cost assumption.</t>
  </si>
  <si>
    <t>Processor hold / deposit</t>
  </si>
  <si>
    <t>Unknown and excluded from target. A hold delays usable cash; a deposit ties up cash. Neither is ordinary spend unless lost or charged. Obtain amount, duration and release terms.</t>
  </si>
  <si>
    <t>Founding creator offer</t>
  </si>
  <si>
    <t>Founder correction: recover attributable costs without profit on founding creator sales. Processing-fees-only is superseded. Duration, cost allocation and no-loss economics are unproven; Plus revenue excluded.</t>
  </si>
  <si>
    <t>Volume and fee inputs</t>
  </si>
  <si>
    <t>Source / interpretation</t>
  </si>
  <si>
    <t>Invited creator count</t>
  </si>
  <si>
    <t>Unchanged planning counts. Two contacts could recruit 50–100 prospects, not commitments; ~500 remains the longer target.</t>
  </si>
  <si>
    <t>Initial check unit allowance</t>
  </si>
  <si>
    <t>Veriff Plus public benchmark $1.39; upper allowance includes pricing uncertainty. Neither establishes adult-platform suitability or required checks.</t>
  </si>
  <si>
    <t>Initial minimum commitment</t>
  </si>
  <si>
    <t>Veriff published Plus/Premium benchmarks. Terms and required plan must be confirmed; creator ID is not member age assurance.</t>
  </si>
  <si>
    <t>Fiverr buyer service fee</t>
  </si>
  <si>
    <t>Official standard buyer fee. Additional $3.50 on an order under $200; taxes and currency conversion may apply.</t>
  </si>
  <si>
    <t>Sources checked September 6, 2026</t>
  </si>
  <si>
    <t>CCBill card registration</t>
  </si>
  <si>
    <t>https://ccbill.com/doc/risk-difference-between-low-risk-and-high-risk-accounts</t>
  </si>
  <si>
    <t>CCBill pricing / underwriting</t>
  </si>
  <si>
    <t>https://ccbill.com/pricing</t>
  </si>
  <si>
    <t>Fiverr buyer fees</t>
  </si>
  <si>
    <t>https://help.fiverr.com/hc/en-us/articles/37553933600657-Paying-for-orders-extras-or-custom-offers</t>
  </si>
  <si>
    <t>Identity price benchmark</t>
  </si>
  <si>
    <t>https://www.veriff.com/plans/self-serve</t>
  </si>
  <si>
    <t>Storage price benchmark</t>
  </si>
  <si>
    <t>https://developers.cloudflare.com/r2/pricing/</t>
  </si>
  <si>
    <t>Compute price reference</t>
  </si>
  <si>
    <t>https://aws.amazon.com/lightsail/pricing/</t>
  </si>
  <si>
    <t>Professional / operating allowances</t>
  </si>
  <si>
    <t>Planning allowances remain unquoted. Founder answers reviewed September 6, 2026 in initial-business-definition.md; new funding/helper statements are notes only, not formula changes.</t>
  </si>
  <si>
    <t>Historic arithmetic</t>
  </si>
  <si>
    <t>Expense Tracker historical estimates exclude the removed optional trademark line. Original displayed total 1,713 is retained. Confirmed purchases total $1,296; current planning remains separate.</t>
  </si>
  <si>
    <t>Keep spending sequential</t>
  </si>
  <si>
    <t>Fund and build one functional slice at a time. Pair necessary founder/provider decisions with code; next is test-content upload/publish/feed and storage. Spending/deployment/live-use controls remain. Financial assumptions unchanged.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</si>
</sst>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\$#,##0"/>
    <numFmt numFmtId="166" formatCode="yyyy\-mm\-dd"/>
    <numFmt numFmtId="167" formatCode="&quot;$&quot;#,##0"/>
    <numFmt numFmtId="168" formatCode="&quot;$&quot;0.00"/>
    <numFmt numFmtId="169" formatCode="\$#,##0.00"/>
  </numFmts>
  <fonts count="33">
    <font>
      <sz val="11"/>
      <color theme="1"/>
      <name val="Calibri"/>
    </font>
    <font>
      <b/>
      <sz val="16"/>
      <color rgb="FFFFFFFF"/>
      <name val="Arial"/>
    </font>
    <font>
      <sz val="11"/>
      <name val="Calibri"/>
    </font>
    <font>
      <b/>
      <sz val="12"/>
      <color rgb="FF3D1A3E"/>
      <name val="Arial"/>
    </font>
    <font>
      <b/>
      <sz val="11"/>
      <color theme="1"/>
      <name val="Arial"/>
    </font>
    <font>
      <sz val="10"/>
      <color rgb="FF444444"/>
      <name val="Arial"/>
    </font>
    <font>
      <sz val="11"/>
      <color theme="1"/>
      <name val="Calibri"/>
    </font>
    <font>
      <sz val="11"/>
      <color rgb="FFD85A8C"/>
      <name val="Arial"/>
    </font>
    <font>
      <b/>
      <sz val="11"/>
      <color rgb="FFFFFFFF"/>
      <name val="Arial"/>
    </font>
    <font>
      <b/>
      <sz val="12"/>
      <color rgb="FFFFFFFF"/>
      <name val="Arial"/>
    </font>
    <font>
      <b/>
      <sz val="11"/>
      <color rgb="FF000000"/>
      <name val="Arial"/>
    </font>
    <font>
      <sz val="11"/>
      <color theme="1"/>
      <name val="Arial"/>
    </font>
    <font>
      <b/>
      <sz val="11"/>
      <color theme="1"/>
      <name val="Arial"/>
    </font>
    <font>
      <sz val="11"/>
      <color theme="1"/>
      <name val="Arial"/>
    </font>
    <font>
      <b/>
      <sz val="11"/>
      <color theme="1"/>
      <name val="Calibri"/>
    </font>
    <font>
      <sz val="11"/>
      <color rgb="FF000000"/>
      <name val="Calibri"/>
    </font>
    <font>
      <sz val="11"/>
      <color rgb="FF000000"/>
      <name val="Calibri"/>
    </font>
    <font>
      <b/>
      <sz val="16"/>
      <color rgb="FFFFFFFF"/>
      <name val="Calibri"/>
    </font>
    <font>
      <sz val="10"/>
      <color rgb="FF6B5A68"/>
      <name val="Calibri"/>
    </font>
    <font>
      <b/>
      <sz val="10"/>
      <color rgb="FFFFFFFF"/>
      <name val="Calibri"/>
    </font>
    <font>
      <sz val="9"/>
      <color rgb="FF2A1B2B"/>
      <name val="Calibri"/>
    </font>
    <font>
      <b/>
      <sz val="11"/>
      <color rgb="FFFFFFFF"/>
      <name val="Calibri"/>
    </font>
    <font>
      <b/>
      <sz val="10"/>
      <color rgb="FF3D1A3E"/>
      <name val="Calibri"/>
    </font>
    <font>
      <b/>
      <sz val="16"/>
      <color rgb="FF3D1A3E"/>
      <name val="Calibri"/>
    </font>
    <font>
      <sz val="11"/>
      <color rgb="FF28232A"/>
      <name val="Arial"/>
    </font>
    <font>
      <b/>
      <sz val="17"/>
      <color rgb="FF412042"/>
      <name val="Arial"/>
    </font>
    <font>
      <sz val="11"/>
      <color rgb="FF24539A"/>
      <name val="Arial"/>
    </font>
    <font>
      <b/>
      <sz val="11"/>
      <color rgb="FF28232A"/>
      <name val="Arial"/>
    </font>
    <font>
      <b/>
      <sz val="10"/>
      <color theme="1"/>
      <name val="Arial"/>
    </font>
    <font>
      <sz val="9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3D1A3E"/>
      </patternFill>
    </fill>
    <fill>
      <patternFill patternType="solid">
        <fgColor rgb="FFFAE1EC"/>
      </patternFill>
    </fill>
    <fill>
      <patternFill patternType="solid">
        <fgColor rgb="FFFFFFFF"/>
      </patternFill>
    </fill>
    <fill>
      <patternFill patternType="solid">
        <fgColor rgb="FFD85A8C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3D1A3E"/>
      </patternFill>
    </fill>
    <fill>
      <patternFill patternType="solid">
        <fgColor rgb="FFFAE1EC"/>
      </patternFill>
    </fill>
    <fill>
      <patternFill patternType="solid">
        <fgColor rgb="FFD85A8C"/>
      </patternFill>
    </fill>
    <fill>
      <patternFill patternType="solid">
        <fgColor rgb="FFF3C7D8"/>
      </patternFill>
    </fill>
    <fill>
      <patternFill patternType="solid">
        <fgColor rgb="FFFFFFFF"/>
      </patternFill>
    </fill>
    <fill>
      <patternFill patternType="solid">
        <fgColor rgb="FF412042"/>
      </patternFill>
    </fill>
    <fill>
      <patternFill patternType="solid">
        <fgColor rgb="FFFFF4D6"/>
      </patternFill>
    </fill>
    <fill>
      <patternFill patternType="solid">
        <fgColor rgb="FFF9E4ED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EB9C"/>
      </patternFill>
    </fill>
    <fill>
      <patternFill patternType="solid">
        <fgColor rgb="FFF2F2F2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9C7D3"/>
      </left>
      <right style="thin">
        <color rgb="FFD9C7D3"/>
      </right>
      <top style="thin">
        <color rgb="FFD9C7D3"/>
      </top>
      <bottom style="thin">
        <color rgb="FFD9C7D3"/>
      </bottom>
      <diagonal/>
    </border>
    <border>
      <left/>
      <right/>
      <top/>
      <bottom style="thin">
        <color rgb="FFD9C7D3"/>
      </bottom>
      <diagonal/>
    </border>
    <border>
      <left/>
      <right/>
      <top style="thin">
        <color rgb="FFD9C7D3"/>
      </top>
      <bottom style="thin">
        <color rgb="FFD9C7D3"/>
      </bottom>
      <diagonal/>
    </border>
    <border>
      <left style="thin">
        <color rgb="FFD9C7D3"/>
      </left>
      <right/>
      <top style="thin">
        <color rgb="FFD9C7D3"/>
      </top>
      <bottom style="thin">
        <color rgb="FFD9C7D3"/>
      </bottom>
      <diagonal/>
    </border>
    <border>
      <left/>
      <right style="thin">
        <color rgb="FFD9C7D3"/>
      </right>
      <top style="thin">
        <color rgb="FFD9C7D3"/>
      </top>
      <bottom style="thin">
        <color rgb="FFD9C7D3"/>
      </bottom>
      <diagonal/>
    </border>
    <border>
      <left style="thin">
        <color rgb="FFD9C7D3"/>
      </left>
      <right/>
      <top style="thin">
        <color rgb="FFD9C7D3"/>
      </top>
      <bottom/>
      <diagonal/>
    </border>
    <border>
      <left/>
      <right style="thin">
        <color rgb="FFD9C7D3"/>
      </right>
      <top style="thin">
        <color rgb="FFD9C7D3"/>
      </top>
      <bottom/>
      <diagonal/>
    </border>
    <border>
      <left style="thin">
        <color rgb="FFD9C7D3"/>
      </left>
      <right/>
      <top/>
      <bottom style="thin">
        <color rgb="FFD9C7D3"/>
      </bottom>
      <diagonal/>
    </border>
    <border>
      <left/>
      <right style="thin">
        <color rgb="FFD9C7D3"/>
      </right>
      <top/>
      <bottom style="thin">
        <color rgb="FFD9C7D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30" fillId="19" borderId="0" applyNumberFormat="0" applyBorder="0" applyAlignment="0" applyProtection="0"/>
    <xf numFmtId="0" fontId="31" fillId="24" borderId="0" applyNumberFormat="0" applyBorder="0" applyAlignment="0" applyProtection="0"/>
    <xf numFmtId="0" fontId="32" fillId="25" borderId="18" applyNumberFormat="0" applyAlignment="0" applyProtection="0"/>
  </cellStyleXfs>
  <cellXfs count="127">
    <xf numFmtId="0" fontId="0" fillId="0" borderId="0" xfId="0"/>
    <xf numFmtId="0" fontId="4" fillId="3" borderId="4" xfId="0" applyFont="1" applyFill="1" applyBorder="1"/>
    <xf numFmtId="0" fontId="4" fillId="4" borderId="4" xfId="0" applyFont="1" applyFill="1" applyBorder="1"/>
    <xf numFmtId="0" fontId="4" fillId="4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left" vertical="center" wrapText="1"/>
    </xf>
    <xf numFmtId="0" fontId="11" fillId="4" borderId="5" xfId="0" applyFont="1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left" vertical="center" wrapText="1"/>
    </xf>
    <xf numFmtId="0" fontId="10" fillId="3" borderId="5" xfId="0" applyFont="1" applyFill="1" applyBorder="1" applyAlignment="1">
      <alignment horizontal="left"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4" fillId="7" borderId="5" xfId="0" applyFont="1" applyFill="1" applyBorder="1" applyAlignment="1">
      <alignment horizontal="center" vertical="center"/>
    </xf>
    <xf numFmtId="0" fontId="4" fillId="8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left" vertical="center" wrapText="1"/>
    </xf>
    <xf numFmtId="0" fontId="4" fillId="8" borderId="6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wrapText="1"/>
    </xf>
    <xf numFmtId="0" fontId="10" fillId="4" borderId="7" xfId="0" applyFont="1" applyFill="1" applyBorder="1" applyAlignment="1">
      <alignment horizontal="left" vertical="center" wrapText="1"/>
    </xf>
    <xf numFmtId="0" fontId="11" fillId="4" borderId="7" xfId="0" applyFont="1" applyFill="1" applyBorder="1" applyAlignment="1">
      <alignment horizontal="left" vertical="center" wrapText="1"/>
    </xf>
    <xf numFmtId="0" fontId="5" fillId="4" borderId="7" xfId="0" applyFont="1" applyFill="1" applyBorder="1" applyAlignment="1">
      <alignment horizontal="left" vertical="center" wrapText="1"/>
    </xf>
    <xf numFmtId="0" fontId="10" fillId="4" borderId="6" xfId="0" applyFont="1" applyFill="1" applyBorder="1" applyAlignment="1">
      <alignment horizontal="left" vertical="center" wrapText="1"/>
    </xf>
    <xf numFmtId="0" fontId="11" fillId="4" borderId="6" xfId="0" applyFont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 vertical="center" wrapText="1"/>
    </xf>
    <xf numFmtId="0" fontId="4" fillId="8" borderId="7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left" vertical="center" wrapText="1"/>
    </xf>
    <xf numFmtId="0" fontId="11" fillId="4" borderId="8" xfId="0" applyFont="1" applyFill="1" applyBorder="1" applyAlignment="1">
      <alignment horizontal="left" vertical="center" wrapText="1"/>
    </xf>
    <xf numFmtId="0" fontId="4" fillId="7" borderId="8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left" vertical="center" wrapText="1"/>
    </xf>
    <xf numFmtId="0" fontId="4" fillId="7" borderId="7" xfId="0" applyFont="1" applyFill="1" applyBorder="1" applyAlignment="1">
      <alignment horizontal="center" vertical="center"/>
    </xf>
    <xf numFmtId="0" fontId="10" fillId="4" borderId="0" xfId="0" applyFont="1" applyFill="1" applyAlignment="1">
      <alignment horizontal="left"/>
    </xf>
    <xf numFmtId="0" fontId="11" fillId="4" borderId="0" xfId="0" applyFont="1" applyFill="1" applyAlignment="1">
      <alignment horizontal="left"/>
    </xf>
    <xf numFmtId="0" fontId="11" fillId="4" borderId="0" xfId="0" applyFont="1" applyFill="1" applyAlignment="1">
      <alignment horizontal="left" wrapText="1"/>
    </xf>
    <xf numFmtId="0" fontId="4" fillId="8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1" fillId="3" borderId="0" xfId="0" applyFont="1" applyFill="1" applyAlignment="1">
      <alignment horizontal="left"/>
    </xf>
    <xf numFmtId="0" fontId="11" fillId="3" borderId="0" xfId="0" applyFont="1" applyFill="1" applyAlignment="1">
      <alignment horizontal="left" wrapText="1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wrapText="1"/>
    </xf>
    <xf numFmtId="0" fontId="4" fillId="3" borderId="4" xfId="0" applyFont="1" applyFill="1" applyBorder="1" applyAlignment="1">
      <alignment horizontal="center" vertical="center"/>
    </xf>
    <xf numFmtId="0" fontId="11" fillId="3" borderId="4" xfId="0" applyFont="1" applyFill="1" applyBorder="1" applyAlignment="1">
      <alignment horizontal="left" vertical="center" wrapText="1"/>
    </xf>
    <xf numFmtId="0" fontId="4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 vertical="center" wrapText="1"/>
    </xf>
    <xf numFmtId="0" fontId="6" fillId="0" borderId="0" xfId="0" applyFont="1" applyAlignment="1">
      <alignment vertical="top" wrapText="1"/>
    </xf>
    <xf numFmtId="0" fontId="14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  <xf numFmtId="0" fontId="8" fillId="5" borderId="5" xfId="0" applyFont="1" applyFill="1" applyBorder="1" applyAlignment="1">
      <alignment horizontal="center" vertical="center" wrapText="1"/>
    </xf>
    <xf numFmtId="165" fontId="4" fillId="3" borderId="4" xfId="0" applyNumberFormat="1" applyFont="1" applyFill="1" applyBorder="1"/>
    <xf numFmtId="165" fontId="4" fillId="4" borderId="4" xfId="0" applyNumberFormat="1" applyFont="1" applyFill="1" applyBorder="1"/>
    <xf numFmtId="0" fontId="15" fillId="0" borderId="0" xfId="0" applyFont="1" applyAlignment="1">
      <alignment horizontal="center" vertical="top" wrapText="1"/>
    </xf>
    <xf numFmtId="0" fontId="15" fillId="0" borderId="0" xfId="0" applyFont="1" applyAlignment="1">
      <alignment horizontal="left" wrapText="1"/>
    </xf>
    <xf numFmtId="0" fontId="15" fillId="0" borderId="0" xfId="0" applyFont="1" applyAlignment="1">
      <alignment horizontal="left" vertical="top" wrapText="1"/>
    </xf>
    <xf numFmtId="0" fontId="16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19" fillId="11" borderId="9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top" wrapText="1"/>
    </xf>
    <xf numFmtId="166" fontId="20" fillId="0" borderId="10" xfId="0" applyNumberFormat="1" applyFont="1" applyBorder="1" applyAlignment="1">
      <alignment vertical="top" wrapText="1"/>
    </xf>
    <xf numFmtId="0" fontId="20" fillId="0" borderId="11" xfId="0" applyFont="1" applyBorder="1" applyAlignment="1">
      <alignment vertical="top" wrapText="1"/>
    </xf>
    <xf numFmtId="166" fontId="20" fillId="0" borderId="11" xfId="0" applyNumberFormat="1" applyFont="1" applyBorder="1" applyAlignment="1">
      <alignment vertical="top" wrapText="1"/>
    </xf>
    <xf numFmtId="164" fontId="20" fillId="0" borderId="10" xfId="0" applyNumberFormat="1" applyFont="1" applyBorder="1" applyAlignment="1">
      <alignment vertical="top" wrapText="1"/>
    </xf>
    <xf numFmtId="164" fontId="20" fillId="0" borderId="11" xfId="0" applyNumberFormat="1" applyFont="1" applyBorder="1" applyAlignment="1">
      <alignment vertical="top" wrapText="1"/>
    </xf>
    <xf numFmtId="0" fontId="22" fillId="0" borderId="10" xfId="0" applyFont="1" applyBorder="1" applyAlignment="1">
      <alignment vertical="top" wrapText="1"/>
    </xf>
    <xf numFmtId="0" fontId="22" fillId="0" borderId="11" xfId="0" applyFont="1" applyBorder="1" applyAlignment="1">
      <alignment vertical="top" wrapText="1"/>
    </xf>
    <xf numFmtId="167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 applyAlignment="1">
      <alignment vertical="center" wrapText="1"/>
    </xf>
    <xf numFmtId="0" fontId="24" fillId="0" borderId="0" xfId="0" applyFont="1" applyAlignment="1">
      <alignment vertical="center" wrapText="1"/>
    </xf>
    <xf numFmtId="167" fontId="24" fillId="0" borderId="0" xfId="0" applyNumberFormat="1" applyFont="1" applyAlignment="1">
      <alignment horizontal="center" vertical="center" wrapText="1"/>
    </xf>
    <xf numFmtId="0" fontId="25" fillId="0" borderId="0" xfId="0" applyFont="1" applyAlignment="1">
      <alignment vertical="center" wrapText="1"/>
    </xf>
    <xf numFmtId="0" fontId="8" fillId="14" borderId="0" xfId="0" applyFont="1" applyFill="1" applyAlignment="1">
      <alignment vertical="center" wrapText="1"/>
    </xf>
    <xf numFmtId="167" fontId="8" fillId="14" borderId="0" xfId="0" applyNumberFormat="1" applyFont="1" applyFill="1" applyAlignment="1">
      <alignment horizontal="center" vertical="center" wrapText="1"/>
    </xf>
    <xf numFmtId="167" fontId="26" fillId="15" borderId="0" xfId="0" applyNumberFormat="1" applyFont="1" applyFill="1" applyAlignment="1">
      <alignment horizontal="center" vertical="center" wrapText="1"/>
    </xf>
    <xf numFmtId="1" fontId="26" fillId="15" borderId="0" xfId="0" applyNumberFormat="1" applyFont="1" applyFill="1" applyAlignment="1">
      <alignment horizontal="center" vertical="center" wrapText="1"/>
    </xf>
    <xf numFmtId="9" fontId="26" fillId="15" borderId="0" xfId="0" applyNumberFormat="1" applyFont="1" applyFill="1" applyAlignment="1">
      <alignment horizontal="center" vertical="center" wrapText="1"/>
    </xf>
    <xf numFmtId="168" fontId="26" fillId="15" borderId="0" xfId="0" applyNumberFormat="1" applyFont="1" applyFill="1" applyAlignment="1">
      <alignment horizontal="center" vertical="center" wrapText="1"/>
    </xf>
    <xf numFmtId="164" fontId="26" fillId="15" borderId="0" xfId="0" applyNumberFormat="1" applyFont="1" applyFill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0" fontId="24" fillId="16" borderId="0" xfId="0" applyFont="1" applyFill="1" applyAlignment="1">
      <alignment vertical="center" wrapText="1"/>
    </xf>
    <xf numFmtId="167" fontId="27" fillId="16" borderId="0" xfId="0" applyNumberFormat="1" applyFont="1" applyFill="1" applyAlignment="1">
      <alignment horizontal="center" vertical="center" wrapText="1"/>
    </xf>
    <xf numFmtId="0" fontId="28" fillId="0" borderId="0" xfId="0" applyFont="1"/>
    <xf numFmtId="169" fontId="28" fillId="0" borderId="0" xfId="0" applyNumberFormat="1" applyFont="1"/>
    <xf numFmtId="169" fontId="11" fillId="3" borderId="5" xfId="0" applyNumberFormat="1" applyFont="1" applyFill="1" applyBorder="1" applyAlignment="1">
      <alignment horizontal="right" vertical="center" wrapText="1"/>
    </xf>
    <xf numFmtId="0" fontId="4" fillId="17" borderId="5" xfId="0" applyFont="1" applyFill="1" applyBorder="1" applyAlignment="1">
      <alignment horizontal="center" vertical="center" wrapText="1"/>
    </xf>
    <xf numFmtId="0" fontId="4" fillId="18" borderId="5" xfId="0" applyFont="1" applyFill="1" applyBorder="1" applyAlignment="1">
      <alignment horizontal="center" vertical="center" wrapText="1"/>
    </xf>
    <xf numFmtId="0" fontId="4" fillId="19" borderId="5" xfId="0" applyFont="1" applyFill="1" applyBorder="1" applyAlignment="1">
      <alignment horizontal="center" vertical="center"/>
    </xf>
    <xf numFmtId="0" fontId="4" fillId="20" borderId="5" xfId="0" applyFont="1" applyFill="1" applyBorder="1" applyAlignment="1">
      <alignment horizontal="center" vertical="center"/>
    </xf>
    <xf numFmtId="0" fontId="4" fillId="21" borderId="5" xfId="0" applyFont="1" applyFill="1" applyBorder="1" applyAlignment="1">
      <alignment horizontal="center" vertical="center"/>
    </xf>
    <xf numFmtId="0" fontId="29" fillId="22" borderId="11" xfId="0" applyFont="1" applyFill="1" applyBorder="1" applyAlignment="1">
      <alignment vertical="top" wrapText="1"/>
    </xf>
    <xf numFmtId="0" fontId="4" fillId="23" borderId="5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 vertical="center"/>
    </xf>
    <xf numFmtId="0" fontId="21" fillId="9" borderId="0" xfId="0" applyFont="1" applyFill="1" applyAlignment="1">
      <alignment vertical="center"/>
    </xf>
    <xf numFmtId="0" fontId="20" fillId="10" borderId="10" xfId="0" applyFont="1" applyFill="1" applyBorder="1" applyAlignment="1">
      <alignment vertical="top" wrapText="1"/>
    </xf>
    <xf numFmtId="0" fontId="20" fillId="10" borderId="11" xfId="0" applyFont="1" applyFill="1" applyBorder="1" applyAlignment="1">
      <alignment vertical="top" wrapText="1"/>
    </xf>
    <xf numFmtId="0" fontId="22" fillId="12" borderId="12" xfId="0" applyFont="1" applyFill="1" applyBorder="1" applyAlignment="1">
      <alignment horizontal="center" vertical="center"/>
    </xf>
    <xf numFmtId="0" fontId="22" fillId="12" borderId="13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center" vertical="center"/>
    </xf>
    <xf numFmtId="0" fontId="23" fillId="13" borderId="15" xfId="0" applyFont="1" applyFill="1" applyBorder="1" applyAlignment="1">
      <alignment horizontal="center" vertical="center"/>
    </xf>
    <xf numFmtId="0" fontId="23" fillId="13" borderId="16" xfId="0" applyFont="1" applyFill="1" applyBorder="1" applyAlignment="1">
      <alignment horizontal="center" vertical="center"/>
    </xf>
    <xf numFmtId="0" fontId="23" fillId="13" borderId="17" xfId="0" applyFont="1" applyFill="1" applyBorder="1" applyAlignment="1">
      <alignment horizontal="center" vertical="center"/>
    </xf>
    <xf numFmtId="164" fontId="23" fillId="13" borderId="14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left" vertical="center"/>
    </xf>
    <xf numFmtId="0" fontId="2" fillId="0" borderId="2" xfId="0" applyFont="1" applyBorder="1"/>
    <xf numFmtId="0" fontId="2" fillId="0" borderId="3" xfId="0" applyFont="1" applyBorder="1"/>
    <xf numFmtId="0" fontId="1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wrapText="1"/>
    </xf>
    <xf numFmtId="0" fontId="22" fillId="10" borderId="0" xfId="0" applyFont="1" applyFill="1" applyAlignment="1">
      <alignment vertical="center" wrapText="1"/>
    </xf>
    <xf numFmtId="0" fontId="7" fillId="3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0" fillId="0" borderId="10" xfId="0" applyFont="1" applyBorder="1" applyAlignment="1">
      <alignment vertical="top" wrapText="1"/>
    </xf>
    <xf numFmtId="0" fontId="20" fillId="0" borderId="11" xfId="0" applyFont="1" applyBorder="1" applyAlignment="1">
      <alignment vertical="top" wrapText="1"/>
    </xf>
    <xf numFmtId="0" fontId="21" fillId="9" borderId="11" xfId="0" applyFont="1" applyFill="1" applyBorder="1" applyAlignment="1">
      <alignment vertical="center" wrapText="1"/>
    </xf>
    <xf numFmtId="0" fontId="30" fillId="19" borderId="10" xfId="1" applyBorder="1" applyAlignment="1">
      <alignment vertical="top" wrapText="1"/>
    </xf>
    <xf numFmtId="0" fontId="31" fillId="24" borderId="11" xfId="2" applyBorder="1" applyAlignment="1">
      <alignment vertical="top" wrapText="1"/>
    </xf>
    <xf numFmtId="0" fontId="20" fillId="0" borderId="18" xfId="0" applyFont="1" applyBorder="1" applyAlignment="1">
      <alignment vertical="top" wrapText="1"/>
    </xf>
    <xf numFmtId="0" fontId="32" fillId="25" borderId="11" xfId="3" applyBorder="1" applyAlignment="1">
      <alignment vertical="top" wrapText="1"/>
    </xf>
  </cellXfs>
  <cellStyles count="4">
    <cellStyle name="Calculation" xfId="3" builtinId="22"/>
    <cellStyle name="Good" xfId="1" builtinId="26"/>
    <cellStyle name="Neutral" xfId="2" builtinId="28"/>
    <cellStyle name="Normal" xfId="0" builtinId="0"/>
  </cellStyles>
  <dxfs count="36"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3D1A3E"/>
      </font>
      <fill>
        <patternFill>
          <bgColor rgb="FFFAE1EC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5D535C"/>
      </font>
      <fill>
        <patternFill>
          <bgColor rgb="FFECE8EC"/>
        </patternFill>
      </fill>
    </dxf>
    <dxf>
      <font>
        <b/>
        <color rgb="FF8A2432"/>
      </font>
      <fill>
        <patternFill>
          <bgColor rgb="FFF9D7DC"/>
        </patternFill>
      </fill>
    </dxf>
    <dxf>
      <font>
        <b/>
        <color rgb="FF245B84"/>
      </font>
      <fill>
        <patternFill>
          <bgColor rgb="FFDDEBFA"/>
        </patternFill>
      </fill>
    </dxf>
    <dxf>
      <font>
        <b/>
        <color rgb="FF805E00"/>
      </font>
      <fill>
        <patternFill>
          <bgColor rgb="FFFFF1C9"/>
        </patternFill>
      </fill>
    </dxf>
    <dxf>
      <font>
        <b/>
        <color rgb="FF246B3B"/>
      </font>
      <fill>
        <patternFill>
          <bgColor rgb="FFDDF3E4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eRoadmapTable" displayName="PhaseRoadmapTable" ref="A3:P19" totalsRowShown="0">
  <autoFilter ref="A3:P19" xr:uid="{00000000-0009-0000-0100-000003000000}"/>
  <tableColumns count="16">
    <tableColumn id="1" xr3:uid="{00000000-0010-0000-0000-000001000000}" name="Phase ID"/>
    <tableColumn id="2" xr3:uid="{00000000-0010-0000-0000-000002000000}" name="PLAN Phase"/>
    <tableColumn id="3" xr3:uid="{00000000-0010-0000-0000-000003000000}" name="Phase State"/>
    <tableColumn id="4" xr3:uid="{00000000-0010-0000-0000-000004000000}" name="Maturity"/>
    <tableColumn id="5" xr3:uid="{00000000-0010-0000-0000-000005000000}" name="Records Done"/>
    <tableColumn id="6" xr3:uid="{00000000-0010-0000-0000-000006000000}" name="Execution Records"/>
    <tableColumn id="7" xr3:uid="{00000000-0010-0000-0000-000007000000}" name="Record Progress"/>
    <tableColumn id="8" xr3:uid="{00000000-0010-0000-0000-000008000000}" name="In Progress"/>
    <tableColumn id="9" xr3:uid="{00000000-0010-0000-0000-000009000000}" name="In Review"/>
    <tableColumn id="10" xr3:uid="{00000000-0010-0000-0000-00000A000000}" name="Blocked"/>
    <tableColumn id="11" xr3:uid="{00000000-0010-0000-0000-00000B000000}" name="Not Started"/>
    <tableColumn id="12" xr3:uid="{00000000-0010-0000-0000-00000C000000}" name="Current Focus"/>
    <tableColumn id="13" xr3:uid="{00000000-0010-0000-0000-00000D000000}" name="Next Exit Gate"/>
    <tableColumn id="14" xr3:uid="{00000000-0010-0000-0000-00000E000000}" name="Exit Criteria Summary"/>
    <tableColumn id="15" xr3:uid="{00000000-0010-0000-0000-00000F000000}" name="Evidence"/>
    <tableColumn id="16" xr3:uid="{00000000-0010-0000-0000-000010000000}" name="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orkItemsTable" displayName="WorkItemsTable" ref="A3:S164" totalsRowShown="0">
  <autoFilter ref="A3:S164" xr:uid="{00000000-0009-0000-0100-000001000000}"/>
  <sortState xmlns:xlrd2="http://schemas.microsoft.com/office/spreadsheetml/2017/richdata2" ref="A4:S164">
    <sortCondition ref="B3:B164"/>
  </sortState>
  <tableColumns count="19">
    <tableColumn id="1" xr3:uid="{00000000-0010-0000-0100-000001000000}" name="Work ID"/>
    <tableColumn id="2" xr3:uid="{00000000-0010-0000-0100-000002000000}" name="Phase ID"/>
    <tableColumn id="3" xr3:uid="{00000000-0010-0000-0100-000003000000}" name="PLAN Phase"/>
    <tableColumn id="4" xr3:uid="{00000000-0010-0000-0100-000004000000}" name="Related Phase(s)"/>
    <tableColumn id="5" xr3:uid="{00000000-0010-0000-0100-000005000000}" name="Record Type"/>
    <tableColumn id="6" xr3:uid="{00000000-0010-0000-0100-000006000000}" name="Workstream"/>
    <tableColumn id="7" xr3:uid="{00000000-0010-0000-0100-000007000000}" name="Work Item"/>
    <tableColumn id="8" xr3:uid="{00000000-0010-0000-0100-000008000000}" name="Workflow"/>
    <tableColumn id="9" xr3:uid="{00000000-0010-0000-0100-000009000000}" name="Maturity"/>
    <tableColumn id="10" xr3:uid="{00000000-0010-0000-0100-00000A000000}" name="Priority"/>
    <tableColumn id="11" xr3:uid="{00000000-0010-0000-0100-00000B000000}" name="Owner"/>
    <tableColumn id="12" xr3:uid="{00000000-0010-0000-0100-00000C000000}" name="Waiting On / Reviewer"/>
    <tableColumn id="13" xr3:uid="{00000000-0010-0000-0100-00000D000000}" name="Next Action"/>
    <tableColumn id="14" xr3:uid="{00000000-0010-0000-0100-00000E000000}" name="Next Check"/>
    <tableColumn id="15" xr3:uid="{00000000-0010-0000-0100-00000F000000}" name="Evidence"/>
    <tableColumn id="16" xr3:uid="{00000000-0010-0000-0100-000010000000}" name="Updated"/>
    <tableColumn id="17" xr3:uid="{00000000-0010-0000-0100-000011000000}" name="Scope / Description"/>
    <tableColumn id="18" xr3:uid="{00000000-0010-0000-0100-000012000000}" name="Notes / History"/>
    <tableColumn id="19" xr3:uid="{00000000-0010-0000-0100-000013000000}" name="Legacy 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ReviewQueueTable" displayName="ReviewQueueTable" ref="A3:L7" totalsRowShown="0">
  <autoFilter ref="A3:L7" xr:uid="{00000000-0009-0000-0100-000006000000}"/>
  <tableColumns count="12">
    <tableColumn id="1" xr3:uid="{00000000-0010-0000-0200-000001000000}" name="Work ID"/>
    <tableColumn id="2" xr3:uid="{00000000-0010-0000-0200-000002000000}" name="Phase"/>
    <tableColumn id="3" xr3:uid="{00000000-0010-0000-0200-000003000000}" name="PLAN Phase"/>
    <tableColumn id="4" xr3:uid="{00000000-0010-0000-0200-000004000000}" name="Workstream"/>
    <tableColumn id="5" xr3:uid="{00000000-0010-0000-0200-000005000000}" name="Work Item"/>
    <tableColumn id="6" xr3:uid="{00000000-0010-0000-0200-000006000000}" name="Workflow"/>
    <tableColumn id="7" xr3:uid="{00000000-0010-0000-0200-000007000000}" name="Owner"/>
    <tableColumn id="8" xr3:uid="{00000000-0010-0000-0200-000008000000}" name="Waiting On / Reviewer"/>
    <tableColumn id="9" xr3:uid="{00000000-0010-0000-0200-000009000000}" name="Next Action"/>
    <tableColumn id="10" xr3:uid="{00000000-0010-0000-0200-00000A000000}" name="Next Check"/>
    <tableColumn id="11" xr3:uid="{00000000-0010-0000-0200-00000B000000}" name="Evidence"/>
    <tableColumn id="12" xr3:uid="{00000000-0010-0000-0200-00000C000000}" name="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ailyLogTable" displayName="DailyLogTable" ref="A3:L63" totalsRowShown="0">
  <autoFilter ref="A3:L63" xr:uid="{00000000-0009-0000-0100-000004000000}"/>
  <tableColumns count="12">
    <tableColumn id="1" xr3:uid="{00000000-0010-0000-0300-000001000000}" name="Date"/>
    <tableColumn id="2" xr3:uid="{00000000-0010-0000-0300-000002000000}" name="Work ID"/>
    <tableColumn id="3" xr3:uid="{00000000-0010-0000-0300-000003000000}" name="Phase"/>
    <tableColumn id="4" xr3:uid="{00000000-0010-0000-0300-000004000000}" name="Goal"/>
    <tableColumn id="5" xr3:uid="{00000000-0010-0000-0300-000005000000}" name="What Changed"/>
    <tableColumn id="6" xr3:uid="{00000000-0010-0000-0300-000006000000}" name="Why It Matters"/>
    <tableColumn id="7" xr3:uid="{00000000-0010-0000-0300-000007000000}" name="What Did Not Change"/>
    <tableColumn id="8" xr3:uid="{00000000-0010-0000-0300-000008000000}" name="Verification / Evidence"/>
    <tableColumn id="9" xr3:uid="{00000000-0010-0000-0300-000009000000}" name="Status After"/>
    <tableColumn id="10" xr3:uid="{00000000-0010-0000-0300-00000A000000}" name="Approval / Blocker"/>
    <tableColumn id="11" xr3:uid="{00000000-0010-0000-0300-00000B000000}" name="Next Step"/>
    <tableColumn id="12" xr3:uid="{00000000-0010-0000-0300-00000C000000}" name="Logged B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ecisionRegisterTable" displayName="DecisionRegisterTable" ref="A3:J28" totalsRowShown="0">
  <autoFilter ref="A3:J28" xr:uid="{00000000-0009-0000-0100-000005000000}"/>
  <tableColumns count="10">
    <tableColumn id="1" xr3:uid="{00000000-0010-0000-0400-000001000000}" name="Decision ID"/>
    <tableColumn id="2" xr3:uid="{00000000-0010-0000-0400-000002000000}" name="Phase"/>
    <tableColumn id="3" xr3:uid="{00000000-0010-0000-0400-000003000000}" name="Decision / Dependency"/>
    <tableColumn id="4" xr3:uid="{00000000-0010-0000-0400-000004000000}" name="Owner"/>
    <tableColumn id="5" xr3:uid="{00000000-0010-0000-0400-000005000000}" name="Target"/>
    <tableColumn id="6" xr3:uid="{00000000-0010-0000-0400-000006000000}" name="Workflow"/>
    <tableColumn id="7" xr3:uid="{00000000-0010-0000-0400-000007000000}" name="Current State"/>
    <tableColumn id="8" xr3:uid="{00000000-0010-0000-0400-000008000000}" name="Next Action"/>
    <tableColumn id="9" xr3:uid="{00000000-0010-0000-0400-000009000000}" name="Evidence"/>
    <tableColumn id="10" xr3:uid="{00000000-0010-0000-0400-00000A000000}" name="Upda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showGridLines="0" topLeftCell="A16" workbookViewId="0">
      <selection activeCell="R6" sqref="R6"/>
    </sheetView>
  </sheetViews>
  <sheetFormatPr defaultColWidth="14.42578125" defaultRowHeight="15"/>
  <cols>
    <col min="1" max="1" width="11" customWidth="1"/>
    <col min="2" max="2" width="28" customWidth="1"/>
    <col min="3" max="4" width="19" customWidth="1"/>
    <col min="5" max="11" width="12" customWidth="1"/>
    <col min="12" max="13" width="43" customWidth="1"/>
    <col min="14" max="14" width="38" customWidth="1"/>
    <col min="15" max="26" width="8.7109375" customWidth="1"/>
  </cols>
  <sheetData>
    <row r="1" spans="1:14" ht="42" customHeight="1">
      <c r="A1" s="94" t="s">
        <v>510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</row>
    <row r="2" spans="1:14" ht="21.75" customHeight="1">
      <c r="A2" t="str" s="95">
        <v>Updated September 16, 2026. Founder confirms Maryland approval and EIN receipt. Private R2 flow verified; local content review remains pending. Record counts are not launch readiness.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3" spans="1:14" ht="13.5" customHeight="1"/>
    <row r="4" spans="1:14">
      <c r="A4" s="96" t="s">
        <v>512</v>
      </c>
      <c r="B4" s="96"/>
      <c r="C4" s="96"/>
      <c r="D4" s="96"/>
      <c r="E4" s="96"/>
      <c r="F4" s="96"/>
      <c r="G4" s="96"/>
      <c r="H4" s="96"/>
      <c r="I4" s="96" t="s">
        <v>513</v>
      </c>
      <c r="J4" s="96"/>
      <c r="K4" s="96"/>
      <c r="L4" s="96"/>
      <c r="M4" s="96"/>
      <c r="N4" s="96"/>
    </row>
    <row r="5" spans="1:14" ht="33.950000000000003" customHeight="1">
      <c r="A5" s="60" t="s">
        <v>514</v>
      </c>
      <c r="B5" s="60" t="s">
        <v>515</v>
      </c>
      <c r="I5" s="97" t="s">
        <v>516</v>
      </c>
      <c r="J5" s="97"/>
      <c r="K5" s="97"/>
      <c r="L5" s="97"/>
      <c r="M5" s="97"/>
      <c r="N5" s="97"/>
    </row>
    <row r="6" spans="1:14" ht="33.950000000000003" customHeight="1">
      <c r="A6" s="62" t="s">
        <v>517</v>
      </c>
      <c r="B6" s="62" t="s">
        <v>518</v>
      </c>
      <c r="I6" s="98"/>
      <c r="J6" s="98"/>
      <c r="K6" s="98"/>
      <c r="L6" s="98"/>
      <c r="M6" s="98"/>
      <c r="N6" s="98"/>
    </row>
    <row r="7" spans="1:14" ht="33.950000000000003" customHeight="1">
      <c r="A7" s="62" t="s">
        <v>519</v>
      </c>
      <c r="B7" s="62" t="s">
        <v>520</v>
      </c>
      <c r="I7" s="98"/>
      <c r="J7" s="98"/>
      <c r="K7" s="98"/>
      <c r="L7" s="98"/>
      <c r="M7" s="98"/>
      <c r="N7" s="98"/>
    </row>
    <row r="8" spans="1:14" ht="33.950000000000003" customHeight="1">
      <c r="A8" s="62" t="s">
        <v>521</v>
      </c>
      <c r="B8" s="62" t="s">
        <v>522</v>
      </c>
      <c r="I8" s="98"/>
      <c r="J8" s="98"/>
      <c r="K8" s="98"/>
      <c r="L8" s="98"/>
      <c r="M8" s="98"/>
      <c r="N8" s="98"/>
    </row>
    <row r="9" spans="1:14" ht="33.950000000000003" customHeight="1">
      <c r="A9" s="62" t="s">
        <v>523</v>
      </c>
      <c r="B9" s="62" t="s">
        <v>524</v>
      </c>
      <c r="I9" s="98" t="s">
        <v>525</v>
      </c>
      <c r="J9" s="98"/>
      <c r="K9" s="98"/>
      <c r="L9" s="98"/>
      <c r="M9" s="98"/>
      <c r="N9" s="98"/>
    </row>
    <row r="10" spans="1:14" ht="13.5" customHeight="1"/>
    <row r="11" spans="1:14">
      <c r="A11" s="96" t="s">
        <v>526</v>
      </c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</row>
    <row r="12" spans="1:14">
      <c r="A12" s="99" t="s">
        <v>527</v>
      </c>
      <c r="B12" s="100"/>
      <c r="C12" s="99" t="s">
        <v>528</v>
      </c>
      <c r="D12" s="100"/>
      <c r="E12" s="99" t="s">
        <v>529</v>
      </c>
      <c r="F12" s="100"/>
      <c r="G12" s="99" t="s">
        <v>530</v>
      </c>
      <c r="H12" s="100"/>
      <c r="I12" s="99" t="s">
        <v>531</v>
      </c>
      <c r="J12" s="100"/>
      <c r="K12" s="99" t="s">
        <v>532</v>
      </c>
      <c r="L12" s="100"/>
      <c r="M12" s="99" t="s">
        <v>533</v>
      </c>
      <c r="N12" s="100"/>
    </row>
    <row r="13" spans="1:14" ht="15" customHeight="1">
      <c r="A13" s="101">
        <f>COUNTA('Delivery Tracker'!$A$4:$A$400)</f>
        <v>156</v>
      </c>
      <c r="B13" s="102"/>
      <c r="C13" s="101">
        <f>COUNTIF('Delivery Tracker'!$H$4:$H$400,"Done")</f>
        <v>33</v>
      </c>
      <c r="D13" s="102"/>
      <c r="E13" s="101">
        <f>COUNTIF('Delivery Tracker'!$H$4:$H$400,"In Progress")</f>
        <v>52</v>
      </c>
      <c r="F13" s="102"/>
      <c r="G13" s="101">
        <f>COUNTIF('Delivery Tracker'!$H$4:$H$400,"In Review")</f>
        <v>2</v>
      </c>
      <c r="H13" s="102"/>
      <c r="I13" s="101">
        <f>COUNTIF('Delivery Tracker'!$H$4:$H$400,"Blocked")</f>
        <v>1</v>
      </c>
      <c r="J13" s="102"/>
      <c r="K13" s="101">
        <f>COUNTIF('Delivery Tracker'!$H$4:$H$400,"Not Started")</f>
        <v>66</v>
      </c>
      <c r="L13" s="102"/>
      <c r="M13" s="105">
        <f>IF(A13=0,0,C13/A13)</f>
        <v>0.21153846153846154</v>
      </c>
      <c r="N13" s="102"/>
    </row>
    <row r="14" spans="1:14" ht="15" customHeight="1">
      <c r="A14" s="103"/>
      <c r="B14" s="104"/>
      <c r="C14" s="103"/>
      <c r="D14" s="104"/>
      <c r="E14" s="103"/>
      <c r="F14" s="104"/>
      <c r="G14" s="103"/>
      <c r="H14" s="104"/>
      <c r="I14" s="103"/>
      <c r="J14" s="104"/>
      <c r="K14" s="103"/>
      <c r="L14" s="104"/>
      <c r="M14" s="103"/>
      <c r="N14" s="104"/>
    </row>
    <row r="15" spans="1:14" ht="15" customHeight="1"/>
    <row r="16" spans="1:14" ht="15" customHeight="1">
      <c r="A16" s="96" t="s">
        <v>534</v>
      </c>
      <c r="B16" s="96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</row>
    <row r="17" spans="1:14" ht="33.950000000000003" customHeight="1">
      <c r="A17" s="59" t="s">
        <v>514</v>
      </c>
      <c r="B17" s="59" t="s">
        <v>535</v>
      </c>
      <c r="C17" s="59" t="s">
        <v>536</v>
      </c>
      <c r="D17" s="59" t="s">
        <v>537</v>
      </c>
      <c r="E17" s="59" t="s">
        <v>538</v>
      </c>
      <c r="F17" s="59" t="s">
        <v>539</v>
      </c>
      <c r="G17" s="59" t="s">
        <v>540</v>
      </c>
      <c r="H17" s="59" t="s">
        <v>529</v>
      </c>
      <c r="I17" s="59" t="s">
        <v>530</v>
      </c>
      <c r="J17" s="59" t="s">
        <v>531</v>
      </c>
      <c r="K17" s="59" t="s">
        <v>532</v>
      </c>
      <c r="L17" s="59" t="s">
        <v>512</v>
      </c>
      <c r="M17" s="59" t="s">
        <v>541</v>
      </c>
      <c r="N17" s="59" t="s">
        <v>523</v>
      </c>
    </row>
    <row r="18" spans="1:14" ht="48" customHeight="1">
      <c r="A18" s="60" t="str">
        <f>'Phase Roadmap'!A4</f>
        <v>P00</v>
      </c>
      <c r="B18" s="60" t="str">
        <f>'Phase Roadmap'!B4</f>
        <v>Baseline, tracker, and scope control</v>
      </c>
      <c r="C18" s="60" t="str">
        <f>'Phase Roadmap'!C4</f>
        <v>Partially Complete</v>
      </c>
      <c r="D18" s="60" t="str">
        <f>'Phase Roadmap'!D4</f>
        <v>Integrated</v>
      </c>
      <c r="E18" s="60">
        <f>'Phase Roadmap'!E4</f>
        <v>6</v>
      </c>
      <c r="F18" s="60">
        <f>'Phase Roadmap'!F4</f>
        <v>6</v>
      </c>
      <c r="G18" s="64">
        <f>'Phase Roadmap'!G4</f>
        <v>1</v>
      </c>
      <c r="H18" s="60">
        <f>'Phase Roadmap'!H4</f>
        <v>0</v>
      </c>
      <c r="I18" s="60">
        <f>'Phase Roadmap'!I4</f>
        <v>0</v>
      </c>
      <c r="J18" s="60">
        <f>'Phase Roadmap'!J4</f>
        <v>0</v>
      </c>
      <c r="K18" s="60">
        <f>'Phase Roadmap'!K4</f>
        <v>0</v>
      </c>
      <c r="L18" s="60" t="str">
        <f>'Phase Roadmap'!L4</f>
        <v>Maintain the PLAN-aligned execution tracker, decision register, review queue, and daily debrief history.</v>
      </c>
      <c r="M18" s="60" t="str">
        <f>'Phase Roadmap'!M4</f>
        <v>Assign and maintain owners and next-check dates for remaining active decisions; preserve legacy records.</v>
      </c>
      <c r="N18" s="60" t="str">
        <f>'Phase Roadmap'!O4</f>
        <v>https://github.com/QK-Connoisseur/PDoki/pull/13</v>
      </c>
    </row>
    <row r="19" spans="1:14" ht="48" customHeight="1">
      <c r="A19" s="62" t="str">
        <f>'Phase Roadmap'!A5</f>
        <v>P01</v>
      </c>
      <c r="B19" s="62" t="str">
        <f>'Phase Roadmap'!B5</f>
        <v>Repository and frontend foundation</v>
      </c>
      <c r="C19" s="62" t="str">
        <f>'Phase Roadmap'!C5</f>
        <v>Complete</v>
      </c>
      <c r="D19" s="62" t="str">
        <f>'Phase Roadmap'!D5</f>
        <v>Integrated</v>
      </c>
      <c r="E19" s="62">
        <f>'Phase Roadmap'!E5</f>
        <v>4</v>
      </c>
      <c r="F19" s="62">
        <f>'Phase Roadmap'!F5</f>
        <v>8</v>
      </c>
      <c r="G19" s="65">
        <f>'Phase Roadmap'!G5</f>
        <v>0.5</v>
      </c>
      <c r="H19" s="62">
        <f>'Phase Roadmap'!H5</f>
        <v>4</v>
      </c>
      <c r="I19" s="62">
        <f>'Phase Roadmap'!I5</f>
        <v>0</v>
      </c>
      <c r="J19" s="62">
        <f>'Phase Roadmap'!J5</f>
        <v>0</v>
      </c>
      <c r="K19" s="62">
        <f>'Phase Roadmap'!K5</f>
        <v>0</v>
      </c>
      <c r="L19" s="62" t="str">
        <f>'Phase Roadmap'!L5</f>
        <v>Maintain routing, shared shell, fixtures, CI, error states, and code splitting.</v>
      </c>
      <c r="M19" s="62" t="str">
        <f>'Phase Roadmap'!M5</f>
        <v>No active gate; preserve regression coverage as product phases integrate real data.</v>
      </c>
      <c r="N19" s="62" t="str">
        <f>'Phase Roadmap'!O5</f>
        <v>https://github.com/QK-Connoisseur/PDoki/pull/2</v>
      </c>
    </row>
    <row r="20" spans="1:14" ht="48" customHeight="1">
      <c r="A20" s="62" t="str">
        <f>'Phase Roadmap'!A6</f>
        <v>P02</v>
      </c>
      <c r="B20" s="62" t="str">
        <f>'Phase Roadmap'!B6</f>
        <v>Backend and database foundation</v>
      </c>
      <c r="C20" s="62" t="str">
        <f>'Phase Roadmap'!C6</f>
        <v>Partially Complete</v>
      </c>
      <c r="D20" s="62" t="str">
        <f>'Phase Roadmap'!D6</f>
        <v>Backend Implemented</v>
      </c>
      <c r="E20" s="62">
        <f>'Phase Roadmap'!E6</f>
        <v>4</v>
      </c>
      <c r="F20" s="62">
        <f>'Phase Roadmap'!F6</f>
        <v>16</v>
      </c>
      <c r="G20" s="65">
        <f>'Phase Roadmap'!G6</f>
        <v>0.25</v>
      </c>
      <c r="H20" s="62">
        <f>'Phase Roadmap'!H6</f>
        <v>7</v>
      </c>
      <c r="I20" s="62">
        <f>'Phase Roadmap'!I6</f>
        <v>0</v>
      </c>
      <c r="J20" s="62">
        <f>'Phase Roadmap'!J6</f>
        <v>0</v>
      </c>
      <c r="K20" s="62">
        <f>'Phase Roadmap'!K6</f>
        <v>5</v>
      </c>
      <c r="L20" s="62" t="str">
        <f>'Phase Roadmap'!L6</f>
        <v>PR #13 published the application-owned PostgreSQL worker foundation and fixed non-secret canary; no product flow uses it.</v>
      </c>
      <c r="M20" s="62" t="str">
        <f>'Phase Roadmap'!M6</f>
        <v>Keep Phase 2 partial: staging, restore/backups, monitoring, Redis/shared throttling, general idempotency, and deployment remain open.</v>
      </c>
      <c r="N20" s="62" t="str">
        <f>'Phase Roadmap'!O6</f>
        <v>https://github.com/QK-Connoisseur/PDoki/pull/13</v>
      </c>
    </row>
    <row r="21" spans="1:14" ht="48" customHeight="1">
      <c r="A21" s="62" t="str">
        <f>'Phase Roadmap'!A7</f>
        <v>P03</v>
      </c>
      <c r="B21" s="62" t="str">
        <f>'Phase Roadmap'!B7</f>
        <v>Authentication, roles, and settings</v>
      </c>
      <c r="C21" s="62" t="str">
        <f>'Phase Roadmap'!C7</f>
        <v>Complete</v>
      </c>
      <c r="D21" s="62" t="str">
        <f>'Phase Roadmap'!D7</f>
        <v>Integrated</v>
      </c>
      <c r="E21" s="62">
        <f>'Phase Roadmap'!E7</f>
        <v>6</v>
      </c>
      <c r="F21" s="62">
        <f>'Phase Roadmap'!F7</f>
        <v>8</v>
      </c>
      <c r="G21" s="65">
        <f>'Phase Roadmap'!G7</f>
        <v>0.75</v>
      </c>
      <c r="H21" s="62">
        <f>'Phase Roadmap'!H7</f>
        <v>2</v>
      </c>
      <c r="I21" s="62">
        <f>'Phase Roadmap'!I7</f>
        <v>0</v>
      </c>
      <c r="J21" s="62">
        <f>'Phase Roadmap'!J7</f>
        <v>0</v>
      </c>
      <c r="K21" s="62">
        <f>'Phase Roadmap'!K7</f>
        <v>0</v>
      </c>
      <c r="L21" s="62" t="str">
        <f>'Phase Roadmap'!L7</f>
        <v>Maintain the founder-approved reduced core auth/account-security scope.</v>
      </c>
      <c r="M21" s="62" t="str">
        <f>'Phase Roadmap'!M7</f>
        <v>Later Settings domains move only with their dependency phases.</v>
      </c>
      <c r="N21" s="62" t="str">
        <f>'Phase Roadmap'!O7</f>
        <v>https://github.com/QK-Connoisseur/PDoki/blob/dev/PLAN.md#7-phase-3--authentication-roles-and-settings</v>
      </c>
    </row>
    <row r="22" spans="1:14" ht="48" customHeight="1">
      <c r="A22" s="62" t="str">
        <f>'Phase Roadmap'!A8</f>
        <v>P04</v>
      </c>
      <c r="B22" s="62" t="str">
        <f>'Phase Roadmap'!B8</f>
        <v>Legal, trust, and creator onboarding</v>
      </c>
      <c r="C22" s="62" t="str">
        <f>'Phase Roadmap'!C8</f>
        <v>Partially Complete</v>
      </c>
      <c r="D22" s="62" t="str">
        <f>'Phase Roadmap'!D8</f>
        <v>Backend Implemented</v>
      </c>
      <c r="E22" s="62">
        <f>'Phase Roadmap'!E8</f>
        <v>6</v>
      </c>
      <c r="F22" s="62">
        <f>'Phase Roadmap'!F8</f>
        <v>35</v>
      </c>
      <c r="G22" s="65">
        <f>'Phase Roadmap'!G8</f>
        <v>0.17142857142857143</v>
      </c>
      <c r="H22" s="62">
        <f>'Phase Roadmap'!H8</f>
        <v>17</v>
      </c>
      <c r="I22" s="62">
        <f>'Phase Roadmap'!I8</f>
        <v>0</v>
      </c>
      <c r="J22" s="62">
        <f>'Phase Roadmap'!J8</f>
        <v>0</v>
      </c>
      <c r="K22" s="62">
        <f>'Phase Roadmap'!K8</f>
        <v>12</v>
      </c>
      <c r="L22" s="62" t="str">
        <f>'Phase Roadmap'!L8</f>
        <v>Slices 1-4 published; operations dormant. Founder confirms Maryland approval and EIN receipt Sept 16. Legal review and business/provider dependencies remain open.</v>
      </c>
      <c r="M22" s="62" t="str">
        <f>'Phase Roadmap'!M8</f>
        <v>Resolve business/legal/provider prerequisites in sequence. G1–G12 apply to operations activation, not all synthetic local product work.</v>
      </c>
      <c r="N22" s="62" t="str">
        <f>'Phase Roadmap'!O8</f>
        <v>https://github.com/QK-Connoisseur/PDoki/pull/15</v>
      </c>
    </row>
    <row r="23" spans="1:14" ht="48" customHeight="1">
      <c r="A23" s="62" t="str">
        <f>'Phase Roadmap'!A9</f>
        <v>P05</v>
      </c>
      <c r="B23" s="62" t="str">
        <f>'Phase Roadmap'!B9</f>
        <v>Media pipeline and content model</v>
      </c>
      <c r="C23" s="62" t="str">
        <f>'Phase Roadmap'!C9</f>
        <v>Partially Complete</v>
      </c>
      <c r="D23" s="62" t="str">
        <f>'Phase Roadmap'!D9</f>
        <v>Backend Implemented</v>
      </c>
      <c r="E23" s="62">
        <f>'Phase Roadmap'!E9</f>
        <v>1</v>
      </c>
      <c r="F23" s="62">
        <f>'Phase Roadmap'!F9</f>
        <v>10</v>
      </c>
      <c r="G23" s="65">
        <f>'Phase Roadmap'!G9</f>
        <v>0.1</v>
      </c>
      <c r="H23" s="62">
        <f>'Phase Roadmap'!H9</f>
        <v>4</v>
      </c>
      <c r="I23" s="62">
        <f>'Phase Roadmap'!I9</f>
        <v>2</v>
      </c>
      <c r="J23" s="62">
        <f>'Phase Roadmap'!J9</f>
        <v>0</v>
      </c>
      <c r="K23" s="62">
        <f>'Phase Roadmap'!K9</f>
        <v>3</v>
      </c>
      <c r="L23" s="62" t="str">
        <f>'Phase Roadmap'!L9</f>
        <v>Safe photo/video flow now uses private R2 storage. Cloud upload/read, private drafts, publish/feed, ranges, restart persistence and removal are verified. Test accounts only. Hosted review deployment and production media controls remain open.</v>
      </c>
      <c r="M23" s="62" t="str">
        <f>'Phase Roadmap'!M9</f>
        <v>Founder reviews the working local R2 upload/publish flow for this slice. No new signup, paperwork or payment task. Real identity, adult uploads and payments remain disabled. Full P05 exit, deployment and processor approval remain open.</v>
      </c>
      <c r="N23" s="62" t="str">
        <f>'Phase Roadmap'!O9</f>
        <v>HANDOFF.md</v>
      </c>
    </row>
    <row r="24" spans="1:14" ht="48" customHeight="1">
      <c r="A24" s="62" t="str">
        <f>'Phase Roadmap'!A10</f>
        <v>P06</v>
      </c>
      <c r="B24" s="62" t="str">
        <f>'Phase Roadmap'!B10</f>
        <v>Payments, subscriptions, tipping, and PPV</v>
      </c>
      <c r="C24" s="62" t="str">
        <f>'Phase Roadmap'!C10</f>
        <v>Partially Complete</v>
      </c>
      <c r="D24" s="62" t="str">
        <f>'Phase Roadmap'!D10</f>
        <v>UI Prototype</v>
      </c>
      <c r="E24" s="62">
        <f>'Phase Roadmap'!E10</f>
        <v>0</v>
      </c>
      <c r="F24" s="62">
        <f>'Phase Roadmap'!F10</f>
        <v>16</v>
      </c>
      <c r="G24" s="65">
        <f>'Phase Roadmap'!G10</f>
        <v>0</v>
      </c>
      <c r="H24" s="62">
        <f>'Phase Roadmap'!H10</f>
        <v>3</v>
      </c>
      <c r="I24" s="62">
        <f>'Phase Roadmap'!I10</f>
        <v>0</v>
      </c>
      <c r="J24" s="62">
        <f>'Phase Roadmap'!J10</f>
        <v>0</v>
      </c>
      <c r="K24" s="62">
        <f>'Phase Roadmap'!K10</f>
        <v>13</v>
      </c>
      <c r="L24" s="62" t="str">
        <f>'Phase Roadmap'!L10</f>
        <v>Provider/site preparation is in progress: CCBill Sales replied, safe-content/R2 milestone is verified and policy drafting is commissioned. Payment backend, webhooks and paid entitlements have not started.</v>
      </c>
      <c r="M24" s="62" t="str">
        <f>'Phase Roadmap'!M10</f>
        <v>Continue functioning-site slices; password protection is permitted for later review. Founder reviews the current local flow. Return to CCBill when review-ready; define the supported payment method before integration.</v>
      </c>
      <c r="N24" s="62" t="str">
        <f>'Phase Roadmap'!O10</f>
        <v>https://github.com/QK-Connoisseur/PDoki/blob/dev/PLAN.md</v>
      </c>
    </row>
    <row r="25" spans="1:14" ht="48" customHeight="1">
      <c r="A25" s="62" t="str">
        <f>'Phase Roadmap'!A11</f>
        <v>P07</v>
      </c>
      <c r="B25" s="62" t="str">
        <f>'Phase Roadmap'!B11</f>
        <v>Core end-to-end vertical slice</v>
      </c>
      <c r="C25" s="62" t="str">
        <f>'Phase Roadmap'!C11</f>
        <v>Blocked</v>
      </c>
      <c r="D25" s="62" t="str">
        <f>'Phase Roadmap'!D11</f>
        <v>N/A</v>
      </c>
      <c r="E25" s="62">
        <f>'Phase Roadmap'!E11</f>
        <v>0</v>
      </c>
      <c r="F25" s="62">
        <f>'Phase Roadmap'!F11</f>
        <v>1</v>
      </c>
      <c r="G25" s="65">
        <f>'Phase Roadmap'!G11</f>
        <v>0</v>
      </c>
      <c r="H25" s="62">
        <f>'Phase Roadmap'!H11</f>
        <v>0</v>
      </c>
      <c r="I25" s="62">
        <f>'Phase Roadmap'!I11</f>
        <v>0</v>
      </c>
      <c r="J25" s="62">
        <f>'Phase Roadmap'!J11</f>
        <v>1</v>
      </c>
      <c r="K25" s="62">
        <f>'Phase Roadmap'!K11</f>
        <v>0</v>
      </c>
      <c r="L25" s="62" t="str">
        <f>'Phase Roadmap'!L11</f>
        <v>Core journey still needs creator, content/access and operations controls. Apply payment dependencies to the chosen beta method.</v>
      </c>
      <c r="M25" s="62" t="str">
        <f>'Phase Roadmap'!M11</f>
        <v>Continue safe test flows. Define the beta payment model with its slice; any paid flow requires processor confirmation, entitlements, auditable earnings and reconciliation.</v>
      </c>
      <c r="N25" s="62" t="str">
        <f>'Phase Roadmap'!O11</f>
        <v>https://github.com/QK-Connoisseur/PDoki/blob/dev/PLAN.md#11-phase-7--core-end-to-end-vertical-slice</v>
      </c>
    </row>
    <row r="26" spans="1:14" ht="48" customHeight="1">
      <c r="A26" s="62" t="str">
        <f>'Phase Roadmap'!A12</f>
        <v>P08</v>
      </c>
      <c r="B26" s="62" t="str">
        <f>'Phase Roadmap'!B12</f>
        <v>Feed, social actions, Store, and Connect</v>
      </c>
      <c r="C26" s="62" t="str">
        <f>'Phase Roadmap'!C12</f>
        <v>Partially Complete</v>
      </c>
      <c r="D26" s="62" t="str">
        <f>'Phase Roadmap'!D12</f>
        <v>UI Prototype</v>
      </c>
      <c r="E26" s="62">
        <f>'Phase Roadmap'!E12</f>
        <v>4</v>
      </c>
      <c r="F26" s="62">
        <f>'Phase Roadmap'!F12</f>
        <v>10</v>
      </c>
      <c r="G26" s="65">
        <f>'Phase Roadmap'!G12</f>
        <v>0.4</v>
      </c>
      <c r="H26" s="62">
        <f>'Phase Roadmap'!H12</f>
        <v>6</v>
      </c>
      <c r="I26" s="62">
        <f>'Phase Roadmap'!I12</f>
        <v>0</v>
      </c>
      <c r="J26" s="62">
        <f>'Phase Roadmap'!J12</f>
        <v>0</v>
      </c>
      <c r="K26" s="62">
        <f>'Phase Roadmap'!K12</f>
        <v>0</v>
      </c>
      <c r="L26" s="62" t="str">
        <f>'Phase Roadmap'!L12</f>
        <v>Feed, Store and Connect remain launch scope (online/price/language discovery). Your Activity /activity UI is an explicit example-data preview; real member history remains pending.</v>
      </c>
      <c r="M26" s="62" t="str">
        <f>'Phase Roadmap'!M12</f>
        <v>Integrate content/access, service/order and beta payment rules. Connect Your Activity to authenticated P05/P06/P07 data.</v>
      </c>
      <c r="N26" s="62" t="str">
        <f>'Phase Roadmap'!O12</f>
        <v>https://github.com/QK-Connoisseur/PDoki/blob/dev/PLAN.md#12-phase-8--feed-social-actions-store-and-connect</v>
      </c>
    </row>
    <row r="27" spans="1:14" ht="48" customHeight="1">
      <c r="A27" s="62" t="str">
        <f>'Phase Roadmap'!A13</f>
        <v>P09</v>
      </c>
      <c r="B27" s="62" t="str">
        <f>'Phase Roadmap'!B13</f>
        <v>Real-time messaging and notifications</v>
      </c>
      <c r="C27" s="62" t="str">
        <f>'Phase Roadmap'!C13</f>
        <v>Partially Complete</v>
      </c>
      <c r="D27" s="62" t="str">
        <f>'Phase Roadmap'!D13</f>
        <v>UI Prototype</v>
      </c>
      <c r="E27" s="62">
        <f>'Phase Roadmap'!E13</f>
        <v>1</v>
      </c>
      <c r="F27" s="62">
        <f>'Phase Roadmap'!F13</f>
        <v>4</v>
      </c>
      <c r="G27" s="65">
        <f>'Phase Roadmap'!G13</f>
        <v>0.25</v>
      </c>
      <c r="H27" s="62">
        <f>'Phase Roadmap'!H13</f>
        <v>2</v>
      </c>
      <c r="I27" s="62">
        <f>'Phase Roadmap'!I13</f>
        <v>0</v>
      </c>
      <c r="J27" s="62">
        <f>'Phase Roadmap'!J13</f>
        <v>0</v>
      </c>
      <c r="K27" s="62">
        <f>'Phase Roadmap'!K13</f>
        <v>1</v>
      </c>
      <c r="L27" s="62" t="str">
        <f>'Phase Roadmap'!L13</f>
        <v>Real-time direct chat remains required at launch. Prototype bell/activities do not establish persisted product notifications.</v>
      </c>
      <c r="M27" s="62" t="str">
        <f>'Phase Roadmap'!M13</f>
        <v>Approve conversation/message persistence and WebSocket authorization design.</v>
      </c>
      <c r="N27" s="62" t="str">
        <f>'Phase Roadmap'!O13</f>
        <v>https://github.com/QK-Connoisseur/PDoki/blob/dev/PLAN.md#13-phase-9--real-time-messaging-and-notifications</v>
      </c>
    </row>
    <row r="28" spans="1:14" ht="48" customHeight="1">
      <c r="A28" s="62" t="str">
        <f>'Phase Roadmap'!A14</f>
        <v>P10</v>
      </c>
      <c r="B28" s="62" t="str">
        <f>'Phase Roadmap'!B14</f>
        <v>Creator dashboard</v>
      </c>
      <c r="C28" s="62" t="str">
        <f>'Phase Roadmap'!C14</f>
        <v>Partially Complete</v>
      </c>
      <c r="D28" s="62" t="str">
        <f>'Phase Roadmap'!D14</f>
        <v>UI Prototype</v>
      </c>
      <c r="E28" s="62">
        <f>'Phase Roadmap'!E14</f>
        <v>0</v>
      </c>
      <c r="F28" s="62">
        <f>'Phase Roadmap'!F14</f>
        <v>1</v>
      </c>
      <c r="G28" s="65">
        <f>'Phase Roadmap'!G14</f>
        <v>0</v>
      </c>
      <c r="H28" s="62">
        <f>'Phase Roadmap'!H14</f>
        <v>1</v>
      </c>
      <c r="I28" s="62">
        <f>'Phase Roadmap'!I14</f>
        <v>0</v>
      </c>
      <c r="J28" s="62">
        <f>'Phase Roadmap'!J14</f>
        <v>0</v>
      </c>
      <c r="K28" s="62">
        <f>'Phase Roadmap'!K14</f>
        <v>0</v>
      </c>
      <c r="L28" s="62" t="str">
        <f>'Phase Roadmap'!L14</f>
        <v>Large UI prototype exists; backend data, actions, and financial reconciliation are absent.</v>
      </c>
      <c r="M28" s="62" t="str">
        <f>'Phase Roadmap'!M14</f>
        <v>Connect dashboard modules only after their source domains are implemented.</v>
      </c>
      <c r="N28" s="62" t="str">
        <f>'Phase Roadmap'!O14</f>
        <v>https://github.com/QK-Connoisseur/PDoki/blob/dev/PLAN.md#14-phase-10--creator-dashboard</v>
      </c>
    </row>
    <row r="29" spans="1:14" ht="48" customHeight="1">
      <c r="A29" s="62" t="str">
        <f>'Phase Roadmap'!A15</f>
        <v>P11</v>
      </c>
      <c r="B29" s="62" t="str">
        <f>'Phase Roadmap'!B15</f>
        <v>Admin and moderation</v>
      </c>
      <c r="C29" s="62" t="str">
        <f>'Phase Roadmap'!C15</f>
        <v>Blocked</v>
      </c>
      <c r="D29" s="62" t="str">
        <f>'Phase Roadmap'!D15</f>
        <v>Backend Implemented</v>
      </c>
      <c r="E29" s="62">
        <f>'Phase Roadmap'!E15</f>
        <v>0</v>
      </c>
      <c r="F29" s="62">
        <f>'Phase Roadmap'!F15</f>
        <v>14</v>
      </c>
      <c r="G29" s="65">
        <f>'Phase Roadmap'!G15</f>
        <v>0</v>
      </c>
      <c r="H29" s="62">
        <f>'Phase Roadmap'!H15</f>
        <v>2</v>
      </c>
      <c r="I29" s="62">
        <f>'Phase Roadmap'!I15</f>
        <v>0</v>
      </c>
      <c r="J29" s="62">
        <f>'Phase Roadmap'!J15</f>
        <v>0</v>
      </c>
      <c r="K29" s="62">
        <f>'Phase Roadmap'!K15</f>
        <v>12</v>
      </c>
      <c r="L29" s="62" t="str">
        <f>'Phase Roadmap'!L15</f>
        <v>Dormant operations source remains parked. The next planned P05 test-content flow pairs storage decisions with implementation. No deployment, live payment or identity activation is implied.</v>
      </c>
      <c r="M29" s="62" t="str">
        <f>'Phase Roadmap'!M15</f>
        <v>Evaluate provider, restricted hosting, MFA/recovery, session, permission, audit and deployment controls when activating real operations.</v>
      </c>
      <c r="N29" s="62" t="str">
        <f>'Phase Roadmap'!O15</f>
        <v>https://github.com/QK-Connoisseur/PDoki/pull/15</v>
      </c>
    </row>
    <row r="30" spans="1:14" ht="48" customHeight="1">
      <c r="A30" s="62" t="str">
        <f>'Phase Roadmap'!A16</f>
        <v>P12</v>
      </c>
      <c r="B30" s="62" t="str">
        <f>'Phase Roadmap'!B16</f>
        <v>Oasis replacement concept (post-launch)</v>
      </c>
      <c r="C30" s="62" t="str">
        <f>'Phase Roadmap'!C16</f>
        <v>Deferred</v>
      </c>
      <c r="D30" s="62" t="str">
        <f>'Phase Roadmap'!D16</f>
        <v>UI Prototype</v>
      </c>
      <c r="E30" s="62">
        <f>'Phase Roadmap'!E16</f>
        <v>0</v>
      </c>
      <c r="F30" s="62">
        <f>'Phase Roadmap'!F16</f>
        <v>2</v>
      </c>
      <c r="G30" s="65">
        <f>'Phase Roadmap'!G16</f>
        <v>0</v>
      </c>
      <c r="H30" s="62">
        <f>'Phase Roadmap'!H16</f>
        <v>0</v>
      </c>
      <c r="I30" s="62">
        <f>'Phase Roadmap'!I16</f>
        <v>0</v>
      </c>
      <c r="J30" s="62">
        <f>'Phase Roadmap'!J16</f>
        <v>0</v>
      </c>
      <c r="K30" s="62">
        <f>'Phase Roadmap'!K16</f>
        <v>0</v>
      </c>
      <c r="L30" s="62" t="str">
        <f>'Phase Roadmap'!L16</f>
        <v>Old Oasis/Drimy game CANCELLED on September 6, 2026. Name may be reused for day/friend streaks and playful adult language learning.</v>
      </c>
      <c r="M30" s="62" t="str">
        <f>'Phase Roadmap'!M16</f>
        <v>No launch gate. Define the replacement after launch; opt-in roasting and language concept remain unimplemented.</v>
      </c>
      <c r="N30" s="62" t="str">
        <f>'Phase Roadmap'!O16</f>
        <v>https://github.com/QK-Connoisseur/PDoki/blob/dev/PLAN.md</v>
      </c>
    </row>
    <row r="31" spans="1:14" ht="48" customHeight="1">
      <c r="A31" s="62" t="str">
        <f>'Phase Roadmap'!A17</f>
        <v>P13</v>
      </c>
      <c r="B31" s="62" t="str">
        <f>'Phase Roadmap'!B17</f>
        <v>Internationalization and accessibility</v>
      </c>
      <c r="C31" s="62" t="str">
        <f>'Phase Roadmap'!C17</f>
        <v>Partially Complete</v>
      </c>
      <c r="D31" s="62" t="str">
        <f>'Phase Roadmap'!D17</f>
        <v>UI Prototype</v>
      </c>
      <c r="E31" s="62">
        <f>'Phase Roadmap'!E17</f>
        <v>0</v>
      </c>
      <c r="F31" s="62">
        <f>'Phase Roadmap'!F17</f>
        <v>2</v>
      </c>
      <c r="G31" s="65">
        <f>'Phase Roadmap'!G17</f>
        <v>0</v>
      </c>
      <c r="H31" s="62">
        <f>'Phase Roadmap'!H17</f>
        <v>1</v>
      </c>
      <c r="I31" s="62">
        <f>'Phase Roadmap'!I17</f>
        <v>0</v>
      </c>
      <c r="J31" s="62">
        <f>'Phase Roadmap'!J17</f>
        <v>0</v>
      </c>
      <c r="K31" s="62">
        <f>'Phase Roadmap'!K17</f>
        <v>1</v>
      </c>
      <c r="L31" s="62" t="str">
        <f>'Phase Roadmap'!L17</f>
        <v>Scattered responsive/accessibility work exists; bilingual core flows and a formal audit remain open.</v>
      </c>
      <c r="M31" s="62" t="str">
        <f>'Phase Roadmap'!M17</f>
        <v>Extract UI copy and scope English/Spanish plus keyboard, focus, contrast, screen-reader, and reduced-motion work.</v>
      </c>
      <c r="N31" s="62" t="str">
        <f>'Phase Roadmap'!O17</f>
        <v>https://github.com/QK-Connoisseur/PDoki/blob/dev/PLAN.md#17-phase-13--internationalization-and-accessibility</v>
      </c>
    </row>
    <row r="32" spans="1:14" ht="48" customHeight="1">
      <c r="A32" s="62" t="str">
        <f>'Phase Roadmap'!A18</f>
        <v>P14</v>
      </c>
      <c r="B32" s="62" t="str">
        <f>'Phase Roadmap'!B18</f>
        <v>QA, security, private beta, and launch</v>
      </c>
      <c r="C32" s="62" t="str">
        <f>'Phase Roadmap'!C18</f>
        <v>Partially Complete</v>
      </c>
      <c r="D32" s="62" t="str">
        <f>'Phase Roadmap'!D18</f>
        <v>Integrated</v>
      </c>
      <c r="E32" s="62">
        <f>'Phase Roadmap'!E18</f>
        <v>1</v>
      </c>
      <c r="F32" s="62">
        <f>'Phase Roadmap'!F18</f>
        <v>22</v>
      </c>
      <c r="G32" s="65">
        <f>'Phase Roadmap'!G18</f>
        <v>4.5454545454545456E-2</v>
      </c>
      <c r="H32" s="62">
        <f>'Phase Roadmap'!H18</f>
        <v>3</v>
      </c>
      <c r="I32" s="62">
        <f>'Phase Roadmap'!I18</f>
        <v>0</v>
      </c>
      <c r="J32" s="62">
        <f>'Phase Roadmap'!J18</f>
        <v>0</v>
      </c>
      <c r="K32" s="62">
        <f>'Phase Roadmap'!K18</f>
        <v>18</v>
      </c>
      <c r="L32" s="62" t="str">
        <f>'Phase Roadmap'!L18</f>
        <v>CI/E2E foundations and the deterministic promotion clock fix are published; product E2E, security drills, beta, and launch gates remain open.</v>
      </c>
      <c r="M32" s="62" t="str">
        <f>'Phase Roadmap'!M18</f>
        <v>Verify applicable creator, content, security, recovery and support controls for beta. Paid flows also need processor and payment controls.</v>
      </c>
      <c r="N32" s="62" t="str">
        <f>'Phase Roadmap'!O18</f>
        <v>https://github.com/QK-Connoisseur/PDoki/actions/runs/32535922437</v>
      </c>
    </row>
    <row r="33" spans="1:14" ht="15.75" customHeight="1"/>
    <row r="34" spans="1:14" ht="15.75" customHeight="1">
      <c r="A34" s="96" t="s">
        <v>542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</row>
    <row r="35" spans="1:14" ht="48" customHeight="1">
      <c r="A35" s="60" t="s">
        <v>543</v>
      </c>
      <c r="B35" s="60" t="s">
        <v>544</v>
      </c>
      <c r="C35" s="60" t="s">
        <v>545</v>
      </c>
      <c r="D35" s="60" t="s">
        <v>546</v>
      </c>
      <c r="E35" s="60" t="s">
        <v>547</v>
      </c>
      <c r="F35" s="60" t="s">
        <v>548</v>
      </c>
      <c r="G35" s="60" t="s">
        <v>549</v>
      </c>
      <c r="H35" s="60" t="s">
        <v>550</v>
      </c>
      <c r="I35" s="60" t="s">
        <v>551</v>
      </c>
      <c r="J35" s="60" t="s">
        <v>552</v>
      </c>
      <c r="K35" s="60"/>
      <c r="L35" s="60"/>
      <c r="M35" s="60"/>
      <c r="N35" s="60"/>
    </row>
    <row r="36" spans="1:14" ht="48" customHeight="1">
      <c r="A36" s="62" t="s">
        <v>553</v>
      </c>
      <c r="B36" s="62" t="s">
        <v>554</v>
      </c>
      <c r="C36" s="62" t="s">
        <v>555</v>
      </c>
      <c r="D36" s="62" t="s">
        <v>556</v>
      </c>
      <c r="E36" s="62" t="s">
        <v>557</v>
      </c>
      <c r="F36" s="62" t="s">
        <v>558</v>
      </c>
      <c r="G36" s="62" t="s">
        <v>559</v>
      </c>
      <c r="H36" s="62" t="s">
        <v>560</v>
      </c>
      <c r="I36" s="62" t="s">
        <v>561</v>
      </c>
      <c r="J36" s="62" t="s">
        <v>562</v>
      </c>
      <c r="K36" s="62"/>
      <c r="L36" s="62"/>
      <c r="M36" s="62"/>
      <c r="N36" s="62"/>
    </row>
    <row r="37" spans="1:14" ht="48" customHeight="1">
      <c r="A37" s="62" t="s">
        <v>563</v>
      </c>
      <c r="B37" s="62" t="s">
        <v>564</v>
      </c>
      <c r="C37" s="62" t="s">
        <v>565</v>
      </c>
      <c r="D37" s="62" t="s">
        <v>566</v>
      </c>
      <c r="E37" s="62" t="s">
        <v>567</v>
      </c>
      <c r="F37" s="62" t="s">
        <v>568</v>
      </c>
      <c r="G37" s="62" t="s">
        <v>523</v>
      </c>
      <c r="H37" s="62" t="s">
        <v>569</v>
      </c>
      <c r="I37" s="62"/>
      <c r="J37" s="62"/>
      <c r="K37" s="62"/>
      <c r="L37" s="62"/>
      <c r="M37" s="62"/>
      <c r="N37" s="62"/>
    </row>
    <row r="38" spans="1:14" ht="48" customHeight="1">
      <c r="A38" s="62" t="s">
        <v>570</v>
      </c>
      <c r="B38" s="62" t="s">
        <v>571</v>
      </c>
      <c r="C38" s="62" t="s">
        <v>572</v>
      </c>
      <c r="D38" s="62" t="s">
        <v>573</v>
      </c>
      <c r="E38" s="62" t="s">
        <v>574</v>
      </c>
      <c r="F38" s="62" t="s">
        <v>575</v>
      </c>
      <c r="G38" s="62" t="s">
        <v>576</v>
      </c>
      <c r="H38" s="62" t="s">
        <v>577</v>
      </c>
      <c r="I38" s="62" t="s">
        <v>578</v>
      </c>
      <c r="J38" s="62" t="s">
        <v>579</v>
      </c>
      <c r="K38" s="62"/>
      <c r="L38" s="62"/>
      <c r="M38" s="62"/>
      <c r="N38" s="62"/>
    </row>
    <row r="39" spans="1:14" ht="15.75" customHeight="1"/>
    <row r="40" spans="1:14" ht="15.75" customHeight="1"/>
    <row r="41" spans="1:14" ht="15.75" customHeight="1"/>
    <row r="42" spans="1:14" ht="15.75" customHeight="1"/>
    <row r="43" spans="1:14" ht="15.75" customHeight="1"/>
    <row r="44" spans="1:14" ht="15.75" customHeight="1"/>
    <row r="45" spans="1:14" ht="15.75" customHeight="1"/>
    <row r="46" spans="1:14" ht="15.75" customHeight="1"/>
    <row r="47" spans="1:14" ht="15.75" customHeight="1"/>
    <row r="48" spans="1:1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6:N16"/>
    <mergeCell ref="A34:N34"/>
    <mergeCell ref="I9:N9"/>
    <mergeCell ref="A11:N11"/>
    <mergeCell ref="A12:B12"/>
    <mergeCell ref="A13:B14"/>
    <mergeCell ref="C12:D12"/>
    <mergeCell ref="C13:D14"/>
    <mergeCell ref="E12:F12"/>
    <mergeCell ref="E13:F14"/>
    <mergeCell ref="G12:H12"/>
    <mergeCell ref="G13:H14"/>
    <mergeCell ref="I12:J12"/>
    <mergeCell ref="I13:J14"/>
    <mergeCell ref="K12:L12"/>
    <mergeCell ref="K13:L14"/>
    <mergeCell ref="M12:N12"/>
    <mergeCell ref="M13:N14"/>
    <mergeCell ref="A1:N1"/>
    <mergeCell ref="A2:N2"/>
    <mergeCell ref="A4:H4"/>
    <mergeCell ref="I4:N4"/>
    <mergeCell ref="I5:N8"/>
  </mergeCells>
  <conditionalFormatting sqref="C18:C32">
    <cfRule type="containsText" dxfId="35" priority="1" operator="containsText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0"/>
  <sheetViews>
    <sheetView topLeftCell="A121" workbookViewId="0">
      <selection sqref="A1:D1"/>
    </sheetView>
  </sheetViews>
  <sheetFormatPr defaultColWidth="14.42578125" defaultRowHeight="15"/>
  <cols>
    <col min="1" max="1" width="40" customWidth="1"/>
    <col min="2" max="2" width="144.5703125" customWidth="1"/>
    <col min="3" max="3" width="18" customWidth="1"/>
    <col min="4" max="4" width="112.85546875" customWidth="1"/>
    <col min="5" max="5" width="9.7109375" customWidth="1"/>
    <col min="6" max="25" width="8.7109375" customWidth="1"/>
  </cols>
  <sheetData>
    <row r="1" spans="1:5" ht="42" customHeight="1">
      <c r="A1" s="109" t="s">
        <v>0</v>
      </c>
      <c r="B1" s="107"/>
      <c r="C1" s="107"/>
      <c r="D1" s="108"/>
      <c r="E1" s="3"/>
    </row>
    <row r="2" spans="1:5" ht="24" customHeight="1">
      <c r="A2" s="110" t="s">
        <v>1</v>
      </c>
      <c r="B2" s="107"/>
      <c r="C2" s="107"/>
      <c r="D2" s="108"/>
      <c r="E2" s="3"/>
    </row>
    <row r="3" spans="1:5" ht="25.5" customHeight="1">
      <c r="A3" s="4" t="s">
        <v>2</v>
      </c>
      <c r="B3" s="4" t="s">
        <v>3</v>
      </c>
      <c r="C3" s="4" t="s">
        <v>4</v>
      </c>
      <c r="D3" s="4" t="s">
        <v>5</v>
      </c>
      <c r="E3" s="3"/>
    </row>
    <row r="4" spans="1:5" ht="27.75" customHeight="1">
      <c r="A4" s="106" t="s">
        <v>6</v>
      </c>
      <c r="B4" s="107"/>
      <c r="C4" s="107"/>
      <c r="D4" s="108"/>
    </row>
    <row r="5" spans="1:5">
      <c r="A5" s="5" t="s">
        <v>7</v>
      </c>
      <c r="B5" s="6" t="s">
        <v>8</v>
      </c>
      <c r="C5" s="7" t="s">
        <v>9</v>
      </c>
      <c r="D5" s="8" t="s">
        <v>10</v>
      </c>
    </row>
    <row r="6" spans="1:5">
      <c r="A6" s="9" t="s">
        <v>11</v>
      </c>
      <c r="B6" s="10" t="s">
        <v>12</v>
      </c>
      <c r="C6" s="7" t="s">
        <v>9</v>
      </c>
      <c r="D6" s="11" t="s">
        <v>13</v>
      </c>
    </row>
    <row r="7" spans="1:5">
      <c r="A7" s="5" t="s">
        <v>14</v>
      </c>
      <c r="B7" s="6" t="s">
        <v>15</v>
      </c>
      <c r="C7" s="7" t="s">
        <v>9</v>
      </c>
      <c r="D7" s="8" t="s">
        <v>16</v>
      </c>
    </row>
    <row r="8" spans="1:5" ht="15" customHeight="1">
      <c r="A8" s="9" t="s">
        <v>17</v>
      </c>
      <c r="B8" s="10" t="s">
        <v>18</v>
      </c>
      <c r="C8" s="12" t="s">
        <v>9</v>
      </c>
      <c r="D8" s="11" t="s">
        <v>580</v>
      </c>
    </row>
    <row r="9" spans="1:5">
      <c r="A9" s="5" t="s">
        <v>19</v>
      </c>
      <c r="B9" s="6" t="s">
        <v>20</v>
      </c>
      <c r="C9" s="13" t="s">
        <v>21</v>
      </c>
      <c r="D9" s="8" t="s">
        <v>22</v>
      </c>
    </row>
    <row r="10" spans="1:5" ht="27.75" customHeight="1">
      <c r="A10" s="106" t="s">
        <v>23</v>
      </c>
      <c r="B10" s="107"/>
      <c r="C10" s="107"/>
      <c r="D10" s="108"/>
    </row>
    <row r="11" spans="1:5">
      <c r="A11" s="5" t="s">
        <v>24</v>
      </c>
      <c r="B11" s="6" t="s">
        <v>25</v>
      </c>
      <c r="C11" s="12" t="s">
        <v>26</v>
      </c>
      <c r="D11" s="8" t="str">
        <v>Q34: 60 days; Q35: Maryland venue with mandatory-rights exceptions. Q33 advice, legal copy and live workflows pending. PLAN.md §20.</v>
      </c>
    </row>
    <row r="12" spans="1:5">
      <c r="A12" s="9" t="s">
        <v>28</v>
      </c>
      <c r="B12" s="10" t="s">
        <v>29</v>
      </c>
      <c r="C12" s="12" t="s">
        <v>26</v>
      </c>
      <c r="D12" s="11" t="str">
        <v>Q50: international privacy provisions where applicable. Q51 vendor terms pending. Controls/final review pending. PLAN.md §20.</v>
      </c>
    </row>
    <row r="13" spans="1:5">
      <c r="A13" s="5" t="s">
        <v>31</v>
      </c>
      <c r="B13" s="6" t="s">
        <v>32</v>
      </c>
      <c r="C13" s="12" t="s">
        <v>26</v>
      </c>
      <c r="D13" s="8" t="str">
        <v>Q75 approved: serious-violation removal aligned with Q62-64. Final policy/controls pending. Active review: LEG-MT-015. PLAN.md §20.</v>
      </c>
    </row>
    <row r="14" spans="1:5">
      <c r="A14" s="9" t="s">
        <v>34</v>
      </c>
      <c r="B14" s="10" t="s">
        <v>35</v>
      </c>
      <c r="C14" s="12" t="s">
        <v>26</v>
      </c>
      <c r="D14" s="11" t="str">
        <v>Q64 reporting/preservation approved. AUP review pending; controls unimplemented. Community review: LEG-MT-013. PLAN.md §20.</v>
      </c>
    </row>
    <row r="15" spans="1:5" ht="30">
      <c r="A15" s="5" t="s">
        <v>37</v>
      </c>
      <c r="B15" s="6" t="s">
        <v>38</v>
      </c>
      <c r="C15" s="12" t="s">
        <v>26</v>
      </c>
      <c r="D15" s="8" t="str">
        <v>Q85 approved: creator notices/warnings, no guaranteed warning count. DMCA draft review done; final policy/controls pending. Active: LEG-MT-028. PLAN.md §20.</v>
      </c>
    </row>
    <row r="16" spans="1:5" ht="30">
      <c r="A16" s="9" t="s">
        <v>40</v>
      </c>
      <c r="B16" s="10" t="s">
        <v>41</v>
      </c>
      <c r="C16" s="12" t="s">
        <v>26</v>
      </c>
      <c r="D16" s="11" t="str">
        <v>Q55: statutory records segregated from consent releases where §2257 applies. Custodian, forms and workflow pending. PLAN.md §20.</v>
      </c>
    </row>
    <row r="17" spans="1:4" ht="30">
      <c r="A17" s="5" t="s">
        <v>43</v>
      </c>
      <c r="B17" s="6" t="s">
        <v>44</v>
      </c>
      <c r="C17" s="12" t="s">
        <v>26</v>
      </c>
      <c r="D17" s="8" t="s">
        <v>45</v>
      </c>
    </row>
    <row r="18" spans="1:4">
      <c r="A18" s="9" t="s">
        <v>46</v>
      </c>
      <c r="B18" s="10" t="s">
        <v>47</v>
      </c>
      <c r="C18" s="12" t="s">
        <v>26</v>
      </c>
      <c r="D18" s="11" t="s">
        <v>48</v>
      </c>
    </row>
    <row r="19" spans="1:4">
      <c r="A19" s="5" t="s">
        <v>49</v>
      </c>
      <c r="B19" s="6" t="s">
        <v>50</v>
      </c>
      <c r="C19" s="12" t="s">
        <v>26</v>
      </c>
      <c r="D19" s="8" t="s">
        <v>51</v>
      </c>
    </row>
    <row r="20" spans="1:4" ht="30">
      <c r="A20" s="9" t="s">
        <v>52</v>
      </c>
      <c r="B20" s="10" t="s">
        <v>53</v>
      </c>
      <c r="C20" s="91" t="s">
        <v>26</v>
      </c>
      <c r="D20" s="11" t="str">
        <v>Q17 approved: CCBill intake received; no detailed checklist/approval. Use current Mastercard rules; align later. PLAN.md §20.</v>
      </c>
    </row>
    <row r="21" spans="1:4" ht="15.75" customHeight="1">
      <c r="A21" s="5" t="s">
        <v>54</v>
      </c>
      <c r="B21" s="6" t="s">
        <v>55</v>
      </c>
      <c r="C21" s="91" t="str">
        <v>🔄 In Progress</v>
      </c>
      <c r="D21" s="8" t="str">
        <v>Final questionnaire corrections confirmed by founder. Await Suzanne response and drafts; provider/legal review pending. PLAN §20.</v>
      </c>
    </row>
    <row r="22" spans="1:4" ht="15.75" customHeight="1">
      <c r="A22" s="9" t="s">
        <v>57</v>
      </c>
      <c r="B22" s="10" t="s">
        <v>58</v>
      </c>
      <c r="C22" s="13" t="s">
        <v>21</v>
      </c>
      <c r="D22" s="11" t="s">
        <v>59</v>
      </c>
    </row>
    <row r="23" spans="1:4" ht="15.75" customHeight="1">
      <c r="A23" s="5" t="s">
        <v>60</v>
      </c>
      <c r="B23" s="6" t="s">
        <v>582</v>
      </c>
      <c r="C23" s="12" t="s">
        <v>26</v>
      </c>
      <c r="D23" s="8" t="s">
        <v>61</v>
      </c>
    </row>
    <row r="24" spans="1:4" ht="15.75" customHeight="1">
      <c r="A24" s="9" t="s">
        <v>62</v>
      </c>
      <c r="B24" s="10" t="s">
        <v>63</v>
      </c>
      <c r="C24" s="12" t="s">
        <v>26</v>
      </c>
      <c r="D24" s="11" t="s">
        <v>64</v>
      </c>
    </row>
    <row r="25" spans="1:4" ht="15.75" customHeight="1">
      <c r="A25" s="5" t="s">
        <v>65</v>
      </c>
      <c r="B25" s="6" t="s">
        <v>66</v>
      </c>
      <c r="C25" s="12" t="s">
        <v>26</v>
      </c>
      <c r="D25" s="8" t="s">
        <v>583</v>
      </c>
    </row>
    <row r="26" spans="1:4" ht="15.75" customHeight="1">
      <c r="A26" s="9" t="s">
        <v>67</v>
      </c>
      <c r="B26" s="10" t="s">
        <v>68</v>
      </c>
      <c r="C26" s="13" t="s">
        <v>21</v>
      </c>
      <c r="D26" s="11" t="s">
        <v>69</v>
      </c>
    </row>
    <row r="27" spans="1:4" ht="15.75" customHeight="1">
      <c r="A27" s="5" t="s">
        <v>70</v>
      </c>
      <c r="B27" s="6" t="s">
        <v>71</v>
      </c>
      <c r="C27" s="91" t="s">
        <v>26</v>
      </c>
      <c r="D27" s="8" t="str">
        <v>Q107 approved; questionnaire reviewed. Draft/controls pending. Active: LEG-MT-032. PLAN.md §20.</v>
      </c>
    </row>
    <row r="28" spans="1:4" ht="15.75" customHeight="1">
      <c r="A28" s="9" t="s">
        <v>72</v>
      </c>
      <c r="B28" s="10" t="s">
        <v>73</v>
      </c>
      <c r="C28" s="13" t="str">
        <v>🔄 In Progress</v>
      </c>
      <c r="D28" s="11" t="str">
        <v>Q96 approved; NCII questionnaire reviewed. Final policy, neutral review and controls pending. Active: LEG-MT-027. PLAN.md §20.</v>
      </c>
    </row>
    <row r="29" spans="1:4" ht="15.75" customHeight="1">
      <c r="A29" s="5" t="s">
        <v>75</v>
      </c>
      <c r="B29" s="6" t="s">
        <v>76</v>
      </c>
      <c r="C29" s="13" t="s">
        <v>21</v>
      </c>
      <c r="D29" s="8" t="s">
        <v>77</v>
      </c>
    </row>
    <row r="30" spans="1:4" ht="15.75" customHeight="1">
      <c r="A30" s="9" t="s">
        <v>78</v>
      </c>
      <c r="B30" s="10" t="s">
        <v>79</v>
      </c>
      <c r="C30" s="13" t="s">
        <v>21</v>
      </c>
      <c r="D30" s="11" t="str">
        <v>Q64 reporting direction approved; request-policy draft, NCMEC setup and evidence controls pending. PLAN.md §20.</v>
      </c>
    </row>
    <row r="31" spans="1:4" ht="15.75" customHeight="1">
      <c r="A31" s="5" t="s">
        <v>81</v>
      </c>
      <c r="B31" s="6" t="s">
        <v>82</v>
      </c>
      <c r="C31" s="91" t="inlineStr">
        <is>
          <t xml:space="preserve">🔄 In Progress</t>
        </is>
      </c>
      <c r="D31" s="8" t="str">
        <v>Q122 approved; appeals questions reviewed. Final policy/controls pending. Active: LEG-MT-021. PLAN.md §20.</v>
      </c>
    </row>
    <row r="32" spans="1:4" ht="15.75" customHeight="1">
      <c r="A32" s="9" t="s">
        <v>84</v>
      </c>
      <c r="B32" s="10" t="s">
        <v>85</v>
      </c>
      <c r="C32" s="91" t="inlineStr">
        <is>
          <t xml:space="preserve">🔄 In Progress</t>
        </is>
      </c>
      <c r="D32" s="11" t="str">
        <v>Q114 approved; complaint questions reviewed. Final policy/controls pending. Active: LEG-MT-031. PLAN.md §20.</v>
      </c>
    </row>
    <row r="33" spans="1:4" ht="15.75" customHeight="1">
      <c r="A33" s="5" t="s">
        <v>87</v>
      </c>
      <c r="B33" s="6" t="s">
        <v>88</v>
      </c>
      <c r="C33" s="13" t="s">
        <v>21</v>
      </c>
      <c r="D33" s="8" t="s">
        <v>89</v>
      </c>
    </row>
    <row r="34" spans="1:4" ht="15.75" customHeight="1">
      <c r="A34" s="9" t="s">
        <v>90</v>
      </c>
      <c r="B34" s="10" t="s">
        <v>91</v>
      </c>
      <c r="C34" s="13" t="s">
        <v>21</v>
      </c>
      <c r="D34" s="11" t="s">
        <v>92</v>
      </c>
    </row>
    <row r="35" spans="1:4" ht="27.75" customHeight="1">
      <c r="A35" s="106" t="s">
        <v>93</v>
      </c>
      <c r="B35" s="107"/>
      <c r="C35" s="107"/>
      <c r="D35" s="108"/>
    </row>
    <row r="36" spans="1:4" ht="15.75" customHeight="1">
      <c r="A36" s="5" t="s">
        <v>94</v>
      </c>
      <c r="B36" s="6" t="s">
        <v>95</v>
      </c>
      <c r="C36" s="7" t="s">
        <v>9</v>
      </c>
      <c r="D36" s="8" t="s">
        <v>96</v>
      </c>
    </row>
    <row r="37" spans="1:4" ht="15.75" customHeight="1">
      <c r="A37" s="9" t="s">
        <v>97</v>
      </c>
      <c r="B37" s="10" t="s">
        <v>98</v>
      </c>
      <c r="C37" s="12" t="s">
        <v>26</v>
      </c>
      <c r="D37" s="11" t="s">
        <v>99</v>
      </c>
    </row>
    <row r="38" spans="1:4" ht="15.75" customHeight="1">
      <c r="A38" s="5" t="s">
        <v>100</v>
      </c>
      <c r="B38" s="6" t="s">
        <v>101</v>
      </c>
      <c r="C38" s="12" t="s">
        <v>26</v>
      </c>
      <c r="D38" s="8" t="s">
        <v>102</v>
      </c>
    </row>
    <row r="39" spans="1:4" ht="15.75" customHeight="1">
      <c r="A39" s="9" t="s">
        <v>103</v>
      </c>
      <c r="B39" s="10" t="s">
        <v>104</v>
      </c>
      <c r="C39" s="7" t="s">
        <v>9</v>
      </c>
      <c r="D39" s="11" t="s">
        <v>105</v>
      </c>
    </row>
    <row r="40" spans="1:4" ht="15.75" customHeight="1">
      <c r="A40" s="5" t="s">
        <v>106</v>
      </c>
      <c r="B40" s="6" t="s">
        <v>107</v>
      </c>
      <c r="C40" s="12" t="s">
        <v>26</v>
      </c>
      <c r="D40" s="8" t="s">
        <v>108</v>
      </c>
    </row>
    <row r="41" spans="1:4" ht="24" customHeight="1">
      <c r="A41" s="9" t="s">
        <v>109</v>
      </c>
      <c r="B41" s="10" t="s">
        <v>110</v>
      </c>
      <c r="C41" s="12" t="s">
        <v>26</v>
      </c>
      <c r="D41" s="11" t="s">
        <v>585</v>
      </c>
    </row>
    <row r="42" spans="1:4" ht="15.75" customHeight="1">
      <c r="A42" s="5" t="s">
        <v>586</v>
      </c>
      <c r="B42" s="6" t="s">
        <v>587</v>
      </c>
      <c r="C42" s="89" t="s">
        <v>9</v>
      </c>
      <c r="D42" s="8" t="s">
        <v>588</v>
      </c>
    </row>
    <row r="43" spans="1:4" ht="15.75" customHeight="1">
      <c r="A43" s="9" t="str">
        <v>Define Founders recognition and benefits</v>
      </c>
      <c r="B43" s="10" t="str">
        <v>Define Founders tag, Connect/Explore discovery and SFW events. Set eligibility, duration and prize terms.</v>
      </c>
      <c r="C43" s="13" t="s">
        <v>21</v>
      </c>
      <c r="D43" s="11" t="str">
        <v>Q132–133 approved: Founders tag lasts for eligible account life. Benefits conditional; eligibility/cap pending. Standard fees.</v>
      </c>
    </row>
    <row r="44" spans="1:4" ht="27.75" customHeight="1">
      <c r="A44" s="106" t="s">
        <v>114</v>
      </c>
      <c r="B44" s="107"/>
      <c r="C44" s="107"/>
      <c r="D44" s="108"/>
    </row>
    <row r="45" spans="1:4" ht="15.75" customHeight="1">
      <c r="A45" s="5" t="s">
        <v>115</v>
      </c>
      <c r="B45" s="6" t="s">
        <v>116</v>
      </c>
      <c r="C45" s="7" t="s">
        <v>9</v>
      </c>
      <c r="D45" s="8" t="s">
        <v>117</v>
      </c>
    </row>
    <row r="46" spans="1:4" ht="15.75" customHeight="1">
      <c r="A46" s="9" t="s">
        <v>118</v>
      </c>
      <c r="B46" s="10" t="s">
        <v>589</v>
      </c>
      <c r="C46" s="90" t="s">
        <v>26</v>
      </c>
      <c r="D46" s="11" t="s">
        <v>590</v>
      </c>
    </row>
    <row r="47" spans="1:4" ht="24" customHeight="1">
      <c r="A47" s="5" t="s">
        <v>119</v>
      </c>
      <c r="B47" s="6" t="s">
        <v>591</v>
      </c>
      <c r="C47" s="13" t="s">
        <v>26</v>
      </c>
      <c r="D47" s="8" t="s">
        <v>592</v>
      </c>
    </row>
    <row r="48" spans="1:4" ht="24" customHeight="1">
      <c r="A48" s="9" t="s">
        <v>120</v>
      </c>
      <c r="B48" s="10" t="s">
        <v>121</v>
      </c>
      <c r="C48" s="13" t="s">
        <v>26</v>
      </c>
      <c r="D48" s="11" t="s">
        <v>593</v>
      </c>
    </row>
    <row r="49" spans="1:4" ht="24" customHeight="1">
      <c r="A49" s="5" t="s">
        <v>122</v>
      </c>
      <c r="B49" s="6" t="s">
        <v>123</v>
      </c>
      <c r="C49" s="12" t="s">
        <v>26</v>
      </c>
      <c r="D49" s="8" t="s">
        <v>594</v>
      </c>
    </row>
    <row r="50" spans="1:4" ht="24" customHeight="1">
      <c r="A50" s="9" t="s">
        <v>124</v>
      </c>
      <c r="B50" s="10" t="s">
        <v>125</v>
      </c>
      <c r="C50" s="13" t="s">
        <v>26</v>
      </c>
      <c r="D50" s="11" t="s">
        <v>595</v>
      </c>
    </row>
    <row r="51" spans="1:4" ht="15" customHeight="1">
      <c r="A51" s="5" t="s">
        <v>126</v>
      </c>
      <c r="B51" s="6" t="s">
        <v>127</v>
      </c>
      <c r="C51" s="13" t="s">
        <v>21</v>
      </c>
      <c r="D51" s="8" t="s">
        <v>128</v>
      </c>
    </row>
    <row r="52" spans="1:4" ht="15" customHeight="1">
      <c r="A52" s="9" t="s">
        <v>129</v>
      </c>
      <c r="B52" s="10" t="s">
        <v>130</v>
      </c>
      <c r="C52" s="13" t="s">
        <v>26</v>
      </c>
      <c r="D52" s="11" t="s">
        <v>596</v>
      </c>
    </row>
    <row r="53" spans="1:4" ht="24" customHeight="1">
      <c r="A53" s="5" t="s">
        <v>131</v>
      </c>
      <c r="B53" s="6" t="s">
        <v>132</v>
      </c>
      <c r="C53" s="12" t="s">
        <v>26</v>
      </c>
      <c r="D53" s="8" t="s">
        <v>597</v>
      </c>
    </row>
    <row r="54" spans="1:4" ht="15" customHeight="1">
      <c r="A54" s="9" t="s">
        <v>133</v>
      </c>
      <c r="B54" s="10" t="s">
        <v>134</v>
      </c>
      <c r="C54" s="13" t="s">
        <v>21</v>
      </c>
      <c r="D54" s="11" t="s">
        <v>135</v>
      </c>
    </row>
    <row r="55" spans="1:4" ht="27.75" customHeight="1">
      <c r="A55" s="106" t="s">
        <v>136</v>
      </c>
      <c r="B55" s="107"/>
      <c r="C55" s="107"/>
      <c r="D55" s="108"/>
    </row>
    <row r="56" spans="1:4" ht="24" customHeight="1">
      <c r="A56" s="5" t="s">
        <v>137</v>
      </c>
      <c r="B56" s="6" t="s">
        <v>138</v>
      </c>
      <c r="C56" s="13" t="s">
        <v>9</v>
      </c>
      <c r="D56" s="8" t="s">
        <v>598</v>
      </c>
    </row>
    <row r="57" spans="1:4" ht="24" customHeight="1">
      <c r="A57" s="9" t="s">
        <v>139</v>
      </c>
      <c r="B57" s="10" t="s">
        <v>140</v>
      </c>
      <c r="C57" s="13" t="s">
        <v>9</v>
      </c>
      <c r="D57" s="11" t="s">
        <v>599</v>
      </c>
    </row>
    <row r="58" spans="1:4" ht="24" customHeight="1">
      <c r="A58" s="5" t="s">
        <v>141</v>
      </c>
      <c r="B58" s="6" t="s">
        <v>142</v>
      </c>
      <c r="C58" s="13" t="s">
        <v>9</v>
      </c>
      <c r="D58" s="8" t="s">
        <v>600</v>
      </c>
    </row>
    <row r="59" spans="1:4" ht="24" customHeight="1">
      <c r="A59" s="9" t="s">
        <v>143</v>
      </c>
      <c r="B59" s="10" t="s">
        <v>144</v>
      </c>
      <c r="C59" s="12" t="s">
        <v>26</v>
      </c>
      <c r="D59" s="8" t="s">
        <v>601</v>
      </c>
    </row>
    <row r="60" spans="1:4" ht="24" customHeight="1">
      <c r="A60" s="5" t="s">
        <v>145</v>
      </c>
      <c r="B60" s="6" t="str">
        <v>Age eligibility and required verification before adult-content access; separate from content opt-in.</v>
      </c>
      <c r="C60" s="13" t="s">
        <v>26</v>
      </c>
      <c r="D60" s="8" t="str">
        <v>Q20: 18+ or higher legal minimum; location-based checks before adult access. Attestation exists; verification pending. PLAN.md §20.</v>
      </c>
    </row>
    <row r="61" spans="1:4" ht="24" customHeight="1">
      <c r="A61" s="9" t="s">
        <v>147</v>
      </c>
      <c r="B61" s="10" t="s">
        <v>148</v>
      </c>
      <c r="C61" s="13" t="s">
        <v>9</v>
      </c>
      <c r="D61" s="11" t="s">
        <v>603</v>
      </c>
    </row>
    <row r="62" spans="1:4" ht="24" customHeight="1">
      <c r="A62" s="5" t="s">
        <v>149</v>
      </c>
      <c r="B62" s="6" t="s">
        <v>150</v>
      </c>
      <c r="C62" s="13" t="s">
        <v>9</v>
      </c>
      <c r="D62" s="8" t="s">
        <v>604</v>
      </c>
    </row>
    <row r="63" spans="1:4" ht="27.75" customHeight="1">
      <c r="A63" s="106" t="s">
        <v>151</v>
      </c>
      <c r="B63" s="107"/>
      <c r="C63" s="107"/>
      <c r="D63" s="108"/>
    </row>
    <row r="64" spans="1:4" ht="15.75" customHeight="1">
      <c r="A64" s="5" t="s">
        <v>152</v>
      </c>
      <c r="B64" s="6" t="s">
        <v>153</v>
      </c>
      <c r="C64" s="7" t="s">
        <v>9</v>
      </c>
      <c r="D64" s="8" t="s">
        <v>154</v>
      </c>
    </row>
    <row r="65" spans="1:4" ht="15.75" customHeight="1">
      <c r="A65" s="9" t="s">
        <v>155</v>
      </c>
      <c r="B65" s="10" t="s">
        <v>156</v>
      </c>
      <c r="C65" s="12" t="s">
        <v>26</v>
      </c>
      <c r="D65" s="11" t="s">
        <v>157</v>
      </c>
    </row>
    <row r="66" spans="1:4" ht="15.75" customHeight="1">
      <c r="A66" s="5" t="s">
        <v>158</v>
      </c>
      <c r="B66" s="6" t="s">
        <v>159</v>
      </c>
      <c r="C66" s="12" t="s">
        <v>26</v>
      </c>
      <c r="D66" s="8" t="s">
        <v>160</v>
      </c>
    </row>
    <row r="67" spans="1:4" ht="15.75" customHeight="1">
      <c r="A67" s="9" t="s">
        <v>161</v>
      </c>
      <c r="B67" s="10" t="s">
        <v>162</v>
      </c>
      <c r="C67" s="7" t="s">
        <v>9</v>
      </c>
      <c r="D67" s="11" t="s">
        <v>163</v>
      </c>
    </row>
    <row r="68" spans="1:4" ht="15.75" customHeight="1">
      <c r="A68" s="5" t="s">
        <v>164</v>
      </c>
      <c r="B68" s="6" t="s">
        <v>165</v>
      </c>
      <c r="C68" s="12" t="s">
        <v>26</v>
      </c>
      <c r="D68" s="8" t="s">
        <v>166</v>
      </c>
    </row>
    <row r="69" spans="1:4" ht="24" customHeight="1">
      <c r="A69" s="9" t="s">
        <v>167</v>
      </c>
      <c r="B69" s="10" t="s">
        <v>168</v>
      </c>
      <c r="C69" s="12" t="s">
        <v>9</v>
      </c>
      <c r="D69" s="11" t="s">
        <v>605</v>
      </c>
    </row>
    <row r="70" spans="1:4" ht="15.75" customHeight="1">
      <c r="A70" s="5" t="s">
        <v>169</v>
      </c>
      <c r="B70" s="6" t="s">
        <v>170</v>
      </c>
      <c r="C70" s="7" t="s">
        <v>9</v>
      </c>
      <c r="D70" s="8" t="s">
        <v>163</v>
      </c>
    </row>
    <row r="71" spans="1:4" ht="15.75" customHeight="1">
      <c r="A71" s="9" t="s">
        <v>171</v>
      </c>
      <c r="B71" s="10" t="s">
        <v>172</v>
      </c>
      <c r="C71" s="12" t="s">
        <v>26</v>
      </c>
      <c r="D71" s="8" t="s">
        <v>606</v>
      </c>
    </row>
    <row r="72" spans="1:4" ht="15.75" customHeight="1">
      <c r="A72" s="5" t="s">
        <v>173</v>
      </c>
      <c r="B72" s="6" t="s">
        <v>174</v>
      </c>
      <c r="C72" s="12" t="s">
        <v>26</v>
      </c>
      <c r="D72" s="8" t="s">
        <v>607</v>
      </c>
    </row>
    <row r="73" spans="1:4" ht="15.75" customHeight="1">
      <c r="A73" s="9" t="s">
        <v>175</v>
      </c>
      <c r="B73" s="10" t="s">
        <v>176</v>
      </c>
      <c r="C73" s="12" t="s">
        <v>26</v>
      </c>
      <c r="D73" s="8" t="s">
        <v>608</v>
      </c>
    </row>
    <row r="74" spans="1:4" ht="15.75" customHeight="1">
      <c r="A74" s="5" t="s">
        <v>177</v>
      </c>
      <c r="B74" s="6" t="s">
        <v>178</v>
      </c>
      <c r="C74" s="12" t="s">
        <v>26</v>
      </c>
      <c r="D74" s="11" t="s">
        <v>609</v>
      </c>
    </row>
    <row r="75" spans="1:4" ht="15.75" customHeight="1">
      <c r="A75" s="9" t="s">
        <v>179</v>
      </c>
      <c r="B75" s="6" t="s">
        <v>610</v>
      </c>
      <c r="C75" s="12" t="s">
        <v>26</v>
      </c>
      <c r="D75" s="8" t="s">
        <v>611</v>
      </c>
    </row>
    <row r="76" spans="1:4" ht="15.75" customHeight="1">
      <c r="A76" s="5"/>
      <c r="B76" s="6"/>
      <c r="C76" s="12"/>
      <c r="D76" s="11"/>
    </row>
    <row r="77" spans="1:4" ht="24" customHeight="1">
      <c r="A77" s="9" t="s">
        <v>180</v>
      </c>
      <c r="B77" s="6" t="s">
        <v>612</v>
      </c>
      <c r="C77" s="13" t="s">
        <v>26</v>
      </c>
      <c r="D77" s="8" t="s">
        <v>613</v>
      </c>
    </row>
    <row r="78" spans="1:4" ht="24" customHeight="1">
      <c r="A78" s="5" t="s">
        <v>181</v>
      </c>
      <c r="B78" s="6" t="s">
        <v>614</v>
      </c>
      <c r="C78" s="13" t="s">
        <v>26</v>
      </c>
      <c r="D78" s="8" t="s">
        <v>615</v>
      </c>
    </row>
    <row r="79" spans="1:4" ht="15.75" customHeight="1">
      <c r="A79" s="9" t="s">
        <v>182</v>
      </c>
      <c r="B79" s="10" t="s">
        <v>183</v>
      </c>
      <c r="C79" s="13" t="s">
        <v>21</v>
      </c>
      <c r="D79" s="11" t="s">
        <v>184</v>
      </c>
    </row>
    <row r="80" spans="1:4" ht="15.75" customHeight="1">
      <c r="A80" s="5" t="s">
        <v>185</v>
      </c>
      <c r="B80" s="6" t="s">
        <v>616</v>
      </c>
      <c r="C80" s="93" t="s">
        <v>26</v>
      </c>
      <c r="D80" s="8" t="s">
        <v>617</v>
      </c>
    </row>
    <row r="81" spans="1:4" ht="15.75" customHeight="1">
      <c r="A81" s="9" t="s">
        <v>186</v>
      </c>
      <c r="B81" s="10" t="s">
        <v>187</v>
      </c>
      <c r="C81" s="7" t="s">
        <v>9</v>
      </c>
      <c r="D81" s="11" t="s">
        <v>188</v>
      </c>
    </row>
    <row r="82" spans="1:4" ht="15.75" customHeight="1">
      <c r="A82" s="5" t="s">
        <v>189</v>
      </c>
      <c r="B82" s="6" t="s">
        <v>190</v>
      </c>
      <c r="C82" s="7" t="s">
        <v>9</v>
      </c>
      <c r="D82" s="8" t="s">
        <v>191</v>
      </c>
    </row>
    <row r="83" spans="1:4" ht="15.75" customHeight="1">
      <c r="A83" s="9" t="s">
        <v>192</v>
      </c>
      <c r="B83" s="10" t="s">
        <v>193</v>
      </c>
      <c r="C83" s="7" t="s">
        <v>9</v>
      </c>
      <c r="D83" s="11" t="s">
        <v>194</v>
      </c>
    </row>
    <row r="84" spans="1:4" ht="30.75" customHeight="1">
      <c r="A84" s="5" t="s">
        <v>195</v>
      </c>
      <c r="B84" s="6" t="s">
        <v>196</v>
      </c>
      <c r="C84" s="12" t="s">
        <v>26</v>
      </c>
      <c r="D84" s="11" t="s">
        <v>618</v>
      </c>
    </row>
    <row r="85" spans="1:4" ht="18.75" customHeight="1">
      <c r="A85" s="9" t="s">
        <v>197</v>
      </c>
      <c r="B85" s="10" t="s">
        <v>198</v>
      </c>
      <c r="C85" s="7" t="s">
        <v>9</v>
      </c>
      <c r="D85" s="11" t="s">
        <v>199</v>
      </c>
    </row>
    <row r="86" spans="1:4" ht="15.75" customHeight="1">
      <c r="A86" s="106" t="s">
        <v>200</v>
      </c>
      <c r="B86" s="107"/>
      <c r="C86" s="107"/>
      <c r="D86" s="108"/>
    </row>
    <row r="87" spans="1:4" ht="15.75" customHeight="1">
      <c r="A87" s="5" t="s">
        <v>201</v>
      </c>
      <c r="B87" s="6" t="s">
        <v>202</v>
      </c>
      <c r="C87" s="13" t="s">
        <v>21</v>
      </c>
      <c r="D87" s="8" t="s">
        <v>203</v>
      </c>
    </row>
    <row r="88" spans="1:4" ht="15.75" customHeight="1">
      <c r="A88" s="9" t="s">
        <v>204</v>
      </c>
      <c r="B88" s="10" t="s">
        <v>205</v>
      </c>
      <c r="C88" s="13" t="s">
        <v>21</v>
      </c>
      <c r="D88" s="11" t="s">
        <v>206</v>
      </c>
    </row>
    <row r="89" spans="1:4" ht="15.75" customHeight="1">
      <c r="A89" s="5" t="s">
        <v>207</v>
      </c>
      <c r="B89" s="6" t="s">
        <v>208</v>
      </c>
      <c r="C89" s="13" t="s">
        <v>21</v>
      </c>
      <c r="D89" s="8" t="s">
        <v>209</v>
      </c>
    </row>
    <row r="90" spans="1:4" ht="15.75" customHeight="1">
      <c r="A90" s="9" t="s">
        <v>210</v>
      </c>
      <c r="B90" s="10" t="s">
        <v>211</v>
      </c>
      <c r="C90" s="13" t="s">
        <v>21</v>
      </c>
      <c r="D90" s="11" t="s">
        <v>212</v>
      </c>
    </row>
    <row r="91" spans="1:4" ht="15.75" customHeight="1">
      <c r="A91" s="5" t="s">
        <v>213</v>
      </c>
      <c r="B91" s="6" t="s">
        <v>214</v>
      </c>
      <c r="C91" s="13" t="s">
        <v>21</v>
      </c>
      <c r="D91" s="8" t="s">
        <v>215</v>
      </c>
    </row>
    <row r="92" spans="1:4" ht="27.75" customHeight="1">
      <c r="A92" s="14" t="s">
        <v>216</v>
      </c>
      <c r="B92" s="15" t="s">
        <v>217</v>
      </c>
      <c r="C92" s="16" t="s">
        <v>21</v>
      </c>
      <c r="D92" s="17" t="s">
        <v>218</v>
      </c>
    </row>
    <row r="93" spans="1:4" ht="15.75" customHeight="1">
      <c r="A93" s="106" t="s">
        <v>219</v>
      </c>
      <c r="B93" s="107"/>
      <c r="C93" s="107"/>
      <c r="D93" s="108"/>
    </row>
    <row r="94" spans="1:4" ht="15.75" customHeight="1">
      <c r="A94" s="18" t="s">
        <v>220</v>
      </c>
      <c r="B94" s="19" t="s">
        <v>221</v>
      </c>
      <c r="C94" s="91" t="s">
        <v>26</v>
      </c>
      <c r="D94" s="11" t="str">
        <v>Sales/site prep underway. Wallets deferred to future; direct pay stays. Processor approval and integration pending. PLAN.md §10.</v>
      </c>
    </row>
    <row r="95" spans="1:4" ht="15.75" customHeight="1">
      <c r="A95" s="9" t="s">
        <v>222</v>
      </c>
      <c r="B95" s="10" t="s">
        <v>223</v>
      </c>
      <c r="C95" s="13" t="s">
        <v>21</v>
      </c>
      <c r="D95" s="8" t="s">
        <v>620</v>
      </c>
    </row>
    <row r="96" spans="1:4" ht="15.75" customHeight="1">
      <c r="A96" s="5" t="s">
        <v>224</v>
      </c>
      <c r="B96" s="6" t="s">
        <v>225</v>
      </c>
      <c r="C96" s="13" t="s">
        <v>21</v>
      </c>
      <c r="D96" s="11" t="s">
        <v>621</v>
      </c>
    </row>
    <row r="97" spans="1:4" ht="15.75" customHeight="1">
      <c r="A97" s="9" t="s">
        <v>226</v>
      </c>
      <c r="B97" s="10" t="s">
        <v>227</v>
      </c>
      <c r="C97" s="13" t="s">
        <v>21</v>
      </c>
      <c r="D97" s="11" t="str">
        <v>Q23: self-service cancellation; paid-term access, refund exceptions and confirmation. Cutoff/setup pending. PLAN.md §20.</v>
      </c>
    </row>
    <row r="98" spans="1:4" ht="15.75" customHeight="1">
      <c r="A98" s="5" t="s">
        <v>228</v>
      </c>
      <c r="B98" s="6" t="s">
        <v>229</v>
      </c>
      <c r="C98" s="13" t="s">
        <v>21</v>
      </c>
      <c r="D98" s="8" t="s">
        <v>230</v>
      </c>
    </row>
    <row r="99" spans="1:4" ht="15.75" customHeight="1">
      <c r="A99" s="9" t="s">
        <v>231</v>
      </c>
      <c r="B99" s="10" t="s">
        <v>232</v>
      </c>
      <c r="C99" s="13" t="s">
        <v>21</v>
      </c>
      <c r="D99" s="11" t="str">
        <v>Q25: no unpaid pilot grace; retain paid access, pause at expiry until payment succeeds. Retry rules/setup pending. PLAN.md §20.</v>
      </c>
    </row>
    <row r="100" spans="1:4" ht="15.75" customHeight="1">
      <c r="A100" s="5" t="s">
        <v>234</v>
      </c>
      <c r="B100" s="6" t="s">
        <v>235</v>
      </c>
      <c r="C100" s="13" t="s">
        <v>21</v>
      </c>
      <c r="D100" s="8" t="str">
        <v>Q147: final settlement without automatic forfeiture. Confirm provider limits and checks before live use. PLAN §20.</v>
      </c>
    </row>
    <row r="101" spans="1:4" ht="15.75" customHeight="1">
      <c r="A101" s="9"/>
      <c r="B101" s="10"/>
      <c r="C101" s="12"/>
      <c r="D101" s="8"/>
    </row>
    <row r="102" spans="1:4" ht="15.75" customHeight="1">
      <c r="A102" s="5" t="s">
        <v>237</v>
      </c>
      <c r="B102" s="6" t="str">
        <v>Standard platform/creator split and calculation base. Founders use the same commission model.</v>
      </c>
      <c r="C102" s="13" t="s">
        <v>21</v>
      </c>
      <c r="D102" s="11" t="str">
        <v>Q131: 20/80 target; processing from platform share. Validate costs. Q132: standard fees for Founders.</v>
      </c>
    </row>
    <row r="103" spans="1:4" ht="15.75" customHeight="1">
      <c r="A103" s="9" t="s">
        <v>239</v>
      </c>
      <c r="B103" s="10" t="s">
        <v>240</v>
      </c>
      <c r="C103" s="13" t="s">
        <v>21</v>
      </c>
      <c r="D103" s="11" t="str">
        <v>Q139: reverse shares; protect earned pay for platform errors. Q28 safeguards. Build/review pending. PLAN §20.</v>
      </c>
    </row>
    <row r="104" spans="1:4" ht="27.75" customHeight="1">
      <c r="A104" s="21" t="s">
        <v>241</v>
      </c>
      <c r="B104" s="22" t="s">
        <v>242</v>
      </c>
      <c r="C104" s="16" t="s">
        <v>21</v>
      </c>
      <c r="D104" s="23" t="s">
        <v>243</v>
      </c>
    </row>
    <row r="105" spans="1:4" ht="15.75" customHeight="1">
      <c r="A105" s="106" t="s">
        <v>244</v>
      </c>
      <c r="B105" s="107"/>
      <c r="C105" s="107"/>
      <c r="D105" s="108"/>
    </row>
    <row r="106" spans="1:4" ht="36" customHeight="1">
      <c r="A106" s="18" t="s">
        <v>625</v>
      </c>
      <c r="B106" s="19" t="s">
        <v>626</v>
      </c>
      <c r="C106" s="24" t="s">
        <v>26</v>
      </c>
      <c r="D106" s="20" t="s">
        <v>627</v>
      </c>
    </row>
    <row r="107" spans="1:4" ht="15" customHeight="1">
      <c r="A107" s="9" t="s">
        <v>245</v>
      </c>
      <c r="B107" s="10" t="s">
        <v>246</v>
      </c>
      <c r="C107" s="13" t="s">
        <v>21</v>
      </c>
      <c r="D107" s="11" t="s">
        <v>247</v>
      </c>
    </row>
    <row r="108" spans="1:4" ht="15" customHeight="1">
      <c r="A108" s="5" t="s">
        <v>248</v>
      </c>
      <c r="B108" s="6" t="s">
        <v>249</v>
      </c>
      <c r="C108" s="13" t="s">
        <v>21</v>
      </c>
      <c r="D108" s="8" t="s">
        <v>250</v>
      </c>
    </row>
    <row r="109" spans="1:4" ht="24" customHeight="1">
      <c r="A109" s="9" t="s">
        <v>251</v>
      </c>
      <c r="B109" s="10" t="s">
        <v>252</v>
      </c>
      <c r="C109" s="13" t="s">
        <v>26</v>
      </c>
      <c r="D109" s="11" t="s">
        <v>628</v>
      </c>
    </row>
    <row r="110" spans="1:4" ht="15.75" customHeight="1">
      <c r="A110" s="5" t="s">
        <v>253</v>
      </c>
      <c r="B110" s="6" t="s">
        <v>254</v>
      </c>
      <c r="C110" s="13" t="s">
        <v>21</v>
      </c>
      <c r="D110" s="8" t="s">
        <v>255</v>
      </c>
    </row>
    <row r="111" spans="1:4" ht="15.75" customHeight="1">
      <c r="A111" s="9" t="s">
        <v>256</v>
      </c>
      <c r="B111" s="10" t="s">
        <v>257</v>
      </c>
      <c r="C111" s="13" t="s">
        <v>21</v>
      </c>
      <c r="D111" s="11" t="s">
        <v>258</v>
      </c>
    </row>
    <row r="112" spans="1:4" ht="15.75" customHeight="1">
      <c r="A112" s="5" t="s">
        <v>259</v>
      </c>
      <c r="B112" s="6" t="s">
        <v>260</v>
      </c>
      <c r="C112" s="13" t="s">
        <v>21</v>
      </c>
      <c r="D112" s="8" t="s">
        <v>629</v>
      </c>
    </row>
    <row r="113" spans="1:4" ht="15.75" customHeight="1">
      <c r="A113" s="9" t="s">
        <v>261</v>
      </c>
      <c r="B113" s="10" t="s">
        <v>630</v>
      </c>
      <c r="C113" s="13" t="s">
        <v>21</v>
      </c>
      <c r="D113" s="11" t="s">
        <v>631</v>
      </c>
    </row>
    <row r="114" spans="1:4" ht="15.75" customHeight="1">
      <c r="A114" s="5"/>
      <c r="B114" s="6"/>
      <c r="C114" s="13"/>
      <c r="D114" s="8"/>
    </row>
    <row r="115" spans="1:4" ht="15.75" customHeight="1">
      <c r="A115" s="9" t="str">
        <v>Build Founders admin management</v>
      </c>
      <c r="B115" s="10" t="str">
        <v>Manage Founders eligibility and badge assignment. Enforce a cohort limit only if approved.</v>
      </c>
      <c r="C115" s="13" t="s">
        <v>21</v>
      </c>
      <c r="D115" s="11" t="str">
        <v>Q133: lasting eligible-account tag; conditional benefits. Eligibility/cap and implementation pending.</v>
      </c>
    </row>
    <row r="116" spans="1:4" ht="15.75" customHeight="1">
      <c r="A116" s="5" t="s">
        <v>265</v>
      </c>
      <c r="B116" s="6" t="str">
        <v>Configure standard commission, content and feature flags, payout minimums and maintenance. No separate Founders rate.</v>
      </c>
      <c r="C116" s="13" t="s">
        <v>21</v>
      </c>
      <c r="D116" s="8" t="s">
        <v>267</v>
      </c>
    </row>
    <row r="117" spans="1:4" ht="15.75" customHeight="1">
      <c r="A117" s="9" t="s">
        <v>268</v>
      </c>
      <c r="B117" s="10" t="s">
        <v>269</v>
      </c>
      <c r="C117" s="13" t="s">
        <v>21</v>
      </c>
      <c r="D117" s="11" t="s">
        <v>270</v>
      </c>
    </row>
    <row r="118" spans="1:4" ht="24" customHeight="1">
      <c r="A118" s="21" t="s">
        <v>271</v>
      </c>
      <c r="B118" s="22" t="s">
        <v>272</v>
      </c>
      <c r="C118" s="16" t="s">
        <v>21</v>
      </c>
      <c r="D118" s="23" t="s">
        <v>632</v>
      </c>
    </row>
    <row r="119" spans="1:4" ht="15.75" customHeight="1">
      <c r="A119" s="106" t="s">
        <v>273</v>
      </c>
      <c r="B119" s="107"/>
      <c r="C119" s="107"/>
      <c r="D119" s="108"/>
    </row>
    <row r="120" spans="1:4" ht="15.75" customHeight="1">
      <c r="A120" s="18" t="s">
        <v>274</v>
      </c>
      <c r="B120" s="19" t="s">
        <v>275</v>
      </c>
      <c r="C120" s="24" t="s">
        <v>21</v>
      </c>
      <c r="D120" s="20" t="s">
        <v>22</v>
      </c>
    </row>
    <row r="121" spans="1:4" ht="15.75" customHeight="1">
      <c r="A121" s="9" t="s">
        <v>276</v>
      </c>
      <c r="B121" s="10" t="s">
        <v>277</v>
      </c>
      <c r="C121" s="13" t="s">
        <v>21</v>
      </c>
      <c r="D121" s="11" t="s">
        <v>278</v>
      </c>
    </row>
    <row r="122" spans="1:4" ht="15.75" customHeight="1">
      <c r="A122" s="5" t="s">
        <v>279</v>
      </c>
      <c r="B122" s="6" t="s">
        <v>280</v>
      </c>
      <c r="C122" s="13" t="s">
        <v>21</v>
      </c>
      <c r="D122" s="8" t="str">
        <v>Q16 daily urgent checks, including weekends; delegate when unavailable. Backup setup and workflow tests pending. PLAN.md §20.</v>
      </c>
    </row>
    <row r="123" spans="1:4" ht="15.75" customHeight="1">
      <c r="A123" s="9" t="s">
        <v>282</v>
      </c>
      <c r="B123" s="10" t="s">
        <v>283</v>
      </c>
      <c r="C123" s="13" t="s">
        <v>21</v>
      </c>
      <c r="D123" s="11" t="s">
        <v>284</v>
      </c>
    </row>
    <row r="124" spans="1:4" ht="24" customHeight="1">
      <c r="A124" s="21" t="s">
        <v>285</v>
      </c>
      <c r="B124" s="22" t="s">
        <v>286</v>
      </c>
      <c r="C124" s="16" t="s">
        <v>26</v>
      </c>
      <c r="D124" s="11" t="s">
        <v>633</v>
      </c>
    </row>
    <row r="125" spans="1:4" ht="15.75" customHeight="1">
      <c r="A125" s="106" t="s">
        <v>287</v>
      </c>
      <c r="B125" s="107"/>
      <c r="C125" s="107"/>
      <c r="D125" s="108"/>
    </row>
    <row r="126" spans="1:4" ht="15.75" customHeight="1">
      <c r="A126" s="18" t="s">
        <v>288</v>
      </c>
      <c r="B126" s="19" t="s">
        <v>289</v>
      </c>
      <c r="C126" s="24" t="s">
        <v>21</v>
      </c>
      <c r="D126" s="20" t="s">
        <v>290</v>
      </c>
    </row>
    <row r="127" spans="1:4" ht="15.75" customHeight="1">
      <c r="A127" s="9" t="s">
        <v>291</v>
      </c>
      <c r="B127" s="10" t="s">
        <v>292</v>
      </c>
      <c r="C127" s="13" t="s">
        <v>21</v>
      </c>
      <c r="D127" s="11" t="s">
        <v>293</v>
      </c>
    </row>
    <row r="128" spans="1:4" ht="15.75" customHeight="1">
      <c r="A128" s="5" t="s">
        <v>294</v>
      </c>
      <c r="B128" s="6" t="s">
        <v>295</v>
      </c>
      <c r="C128" s="13" t="s">
        <v>21</v>
      </c>
      <c r="D128" s="8" t="s">
        <v>296</v>
      </c>
    </row>
    <row r="129" spans="1:4" ht="15.75" customHeight="1">
      <c r="A129" s="9" t="s">
        <v>297</v>
      </c>
      <c r="B129" s="10" t="s">
        <v>298</v>
      </c>
      <c r="C129" s="13" t="s">
        <v>21</v>
      </c>
      <c r="D129" s="11" t="s">
        <v>299</v>
      </c>
    </row>
    <row r="130" spans="1:4" ht="15.75" customHeight="1">
      <c r="A130" s="5" t="s">
        <v>300</v>
      </c>
      <c r="B130" s="6" t="s">
        <v>301</v>
      </c>
      <c r="C130" s="13" t="s">
        <v>21</v>
      </c>
      <c r="D130" s="8" t="s">
        <v>302</v>
      </c>
    </row>
    <row r="131" spans="1:4" ht="15" customHeight="1">
      <c r="A131" s="9" t="s">
        <v>303</v>
      </c>
      <c r="B131" s="10" t="s">
        <v>304</v>
      </c>
      <c r="C131" s="13" t="s">
        <v>21</v>
      </c>
      <c r="D131" s="11" t="s">
        <v>305</v>
      </c>
    </row>
    <row r="132" spans="1:4" ht="15.75" customHeight="1">
      <c r="A132" s="25" t="s">
        <v>306</v>
      </c>
      <c r="B132" s="26" t="s">
        <v>307</v>
      </c>
      <c r="C132" s="27" t="s">
        <v>26</v>
      </c>
      <c r="D132" s="28" t="s">
        <v>302</v>
      </c>
    </row>
    <row r="133" spans="1:4" ht="15.75" customHeight="1">
      <c r="A133" s="106" t="s">
        <v>308</v>
      </c>
      <c r="B133" s="107"/>
      <c r="C133" s="107"/>
      <c r="D133" s="108"/>
    </row>
    <row r="134" spans="1:4" ht="24" customHeight="1">
      <c r="A134" s="18" t="s">
        <v>309</v>
      </c>
      <c r="B134" s="19" t="s">
        <v>310</v>
      </c>
      <c r="C134" s="29" t="s">
        <v>26</v>
      </c>
      <c r="D134" s="20" t="s">
        <v>634</v>
      </c>
    </row>
    <row r="135" spans="1:4" ht="15.75" customHeight="1">
      <c r="A135" s="9" t="s">
        <v>311</v>
      </c>
      <c r="B135" s="10" t="s">
        <v>312</v>
      </c>
      <c r="C135" s="13" t="s">
        <v>21</v>
      </c>
      <c r="D135" s="11" t="s">
        <v>313</v>
      </c>
    </row>
    <row r="136" spans="1:4" ht="15.75" customHeight="1">
      <c r="A136" s="5" t="s">
        <v>314</v>
      </c>
      <c r="B136" s="6" t="s">
        <v>315</v>
      </c>
      <c r="C136" s="13" t="s">
        <v>21</v>
      </c>
      <c r="D136" s="8" t="s">
        <v>316</v>
      </c>
    </row>
    <row r="137" spans="1:4" ht="15.75" customHeight="1">
      <c r="A137" s="9" t="s">
        <v>317</v>
      </c>
      <c r="B137" s="10" t="s">
        <v>318</v>
      </c>
      <c r="C137" s="13" t="s">
        <v>21</v>
      </c>
      <c r="D137" s="11" t="s">
        <v>302</v>
      </c>
    </row>
    <row r="138" spans="1:4" ht="15.75" customHeight="1">
      <c r="A138" s="5" t="s">
        <v>319</v>
      </c>
      <c r="B138" s="6" t="s">
        <v>320</v>
      </c>
      <c r="C138" s="13" t="s">
        <v>21</v>
      </c>
      <c r="D138" s="8" t="s">
        <v>635</v>
      </c>
    </row>
    <row r="139" spans="1:4" ht="15.75" customHeight="1">
      <c r="A139" s="9" t="s">
        <v>321</v>
      </c>
      <c r="B139" s="10" t="s">
        <v>322</v>
      </c>
      <c r="C139" s="13" t="s">
        <v>21</v>
      </c>
      <c r="D139" s="11" t="str">
        <v>Q18: no fixed date; CCBill timing unconfirmed. Limited pilot after approval and readiness checks. Checklist pending. PLAN.md §20.</v>
      </c>
    </row>
    <row r="140" spans="1:4" ht="15.75" customHeight="1">
      <c r="A140" s="5" t="s">
        <v>324</v>
      </c>
      <c r="B140" s="6" t="s">
        <v>325</v>
      </c>
      <c r="C140" s="13" t="s">
        <v>21</v>
      </c>
      <c r="D140" s="8" t="s">
        <v>326</v>
      </c>
    </row>
    <row r="141" spans="1:4" ht="15.75" customHeight="1">
      <c r="A141" s="9" t="s">
        <v>327</v>
      </c>
      <c r="B141" s="10" t="s">
        <v>328</v>
      </c>
      <c r="C141" s="13" t="s">
        <v>21</v>
      </c>
      <c r="D141" s="11" t="s">
        <v>329</v>
      </c>
    </row>
    <row r="142" spans="1:4" ht="27.75" customHeight="1">
      <c r="A142" s="106" t="s">
        <v>636</v>
      </c>
      <c r="B142" s="107"/>
      <c r="C142" s="107"/>
      <c r="D142" s="108"/>
    </row>
    <row r="143" spans="1:4" ht="31.5" customHeight="1">
      <c r="A143" s="5"/>
      <c r="B143" s="6"/>
      <c r="C143" s="13"/>
      <c r="D143" s="8"/>
    </row>
    <row r="144" spans="1:4" ht="31.5" customHeight="1">
      <c r="A144" s="9"/>
      <c r="B144" s="10"/>
      <c r="C144" s="12"/>
      <c r="D144" s="11"/>
    </row>
    <row r="145" spans="1:4" ht="31.5" customHeight="1">
      <c r="A145" s="5" t="s">
        <v>637</v>
      </c>
      <c r="B145" s="6" t="s">
        <v>638</v>
      </c>
      <c r="C145" s="13" t="s">
        <v>21</v>
      </c>
      <c r="D145" s="8" t="s">
        <v>639</v>
      </c>
    </row>
    <row r="146" spans="1:4" ht="31.5" customHeight="1">
      <c r="A146" s="9" t="s">
        <v>640</v>
      </c>
      <c r="B146" s="10" t="str">
        <v>Unlock individual creator content through approved hosted checkout, with ongoing access to the purchased version.</v>
      </c>
      <c r="C146" s="13" t="s">
        <v>21</v>
      </c>
      <c r="D146" s="11" t="str">
        <v>Q26: creator delisting preserves buyer access; legal/safety removals still apply. Paid flow pending. PLAN.md §20.</v>
      </c>
    </row>
    <row r="147" spans="1:4" ht="31.5" customHeight="1">
      <c r="A147" s="5" t="s">
        <v>642</v>
      </c>
      <c r="B147" s="6" t="s">
        <v>643</v>
      </c>
      <c r="C147" s="13" t="s">
        <v>21</v>
      </c>
      <c r="D147" s="8" t="s">
        <v>644</v>
      </c>
    </row>
    <row r="148" spans="1:4" ht="31.5" customHeight="1">
      <c r="A148" s="9" t="s">
        <v>645</v>
      </c>
      <c r="B148" s="10" t="s">
        <v>646</v>
      </c>
      <c r="C148" s="12" t="s">
        <v>26</v>
      </c>
      <c r="D148" s="11" t="s">
        <v>647</v>
      </c>
    </row>
    <row r="149" spans="1:4" ht="31.5" customHeight="1">
      <c r="A149" s="5" t="s">
        <v>648</v>
      </c>
      <c r="B149" s="6" t="s">
        <v>649</v>
      </c>
      <c r="C149" s="12" t="s">
        <v>26</v>
      </c>
      <c r="D149" s="8" t="s">
        <v>650</v>
      </c>
    </row>
    <row r="150" spans="1:4" ht="31.5" customHeight="1">
      <c r="A150" s="9" t="s">
        <v>651</v>
      </c>
      <c r="B150" s="10" t="s">
        <v>652</v>
      </c>
      <c r="C150" s="12" t="s">
        <v>26</v>
      </c>
      <c r="D150" s="11" t="s">
        <v>653</v>
      </c>
    </row>
    <row r="151" spans="1:4" ht="31.5" customHeight="1">
      <c r="A151" s="5" t="s">
        <v>654</v>
      </c>
      <c r="B151" s="6" t="s">
        <v>655</v>
      </c>
      <c r="C151" s="13" t="s">
        <v>21</v>
      </c>
      <c r="D151" s="8" t="s">
        <v>656</v>
      </c>
    </row>
    <row r="152" spans="1:4" ht="24" customHeight="1">
      <c r="A152" s="9" t="s">
        <v>657</v>
      </c>
      <c r="B152" s="10" t="s">
        <v>658</v>
      </c>
      <c r="C152" s="13" t="s">
        <v>26</v>
      </c>
      <c r="D152" s="11" t="s">
        <v>613</v>
      </c>
    </row>
    <row r="153" spans="1:4" ht="15" customHeight="1">
      <c r="A153" s="5" t="s">
        <v>659</v>
      </c>
      <c r="B153" s="6" t="s">
        <v>660</v>
      </c>
      <c r="C153" s="13" t="s">
        <v>21</v>
      </c>
      <c r="D153" s="8" t="str">
        <v>Q49: international pilot, separate role eligibility and active restrictions. Countries, budgets and implementation pending. PLAN.md §20.</v>
      </c>
    </row>
    <row r="154" spans="1:4" ht="15" customHeight="1">
      <c r="A154" s="9" t="s">
        <v>662</v>
      </c>
      <c r="B154" s="10" t="s">
        <v>663</v>
      </c>
      <c r="C154" s="13" t="s">
        <v>21</v>
      </c>
      <c r="D154" s="11" t="s">
        <v>664</v>
      </c>
    </row>
    <row r="155" spans="1:4" ht="15" customHeight="1">
      <c r="A155" s="5" t="s">
        <v>665</v>
      </c>
      <c r="B155" s="6" t="str">
        <v>Compare automated member age assurance and creator identity/age verification providers; preserve replaceable integration.</v>
      </c>
      <c r="C155" s="13" t="s">
        <v>21</v>
      </c>
      <c r="D155" s="8" t="str">
        <v>Sept 13: Ondato/Veriff candidates; provider, pricing and coverage unresolved. Coordinate CCBill review; no purchase approved. PLAN.md §20.</v>
      </c>
    </row>
    <row r="156" spans="1:4" ht="15" customHeight="1">
      <c r="A156" s="9" t="s">
        <v>668</v>
      </c>
      <c r="B156" s="10" t="s">
        <v>669</v>
      </c>
      <c r="C156" s="13" t="s">
        <v>21</v>
      </c>
      <c r="D156" s="11" t="s">
        <v>670</v>
      </c>
    </row>
    <row r="157" spans="1:4" ht="24" customHeight="1">
      <c r="A157" s="5" t="s">
        <v>671</v>
      </c>
      <c r="B157" s="6" t="s">
        <v>672</v>
      </c>
      <c r="C157" s="13" t="s">
        <v>21</v>
      </c>
      <c r="D157" s="8" t="str">
        <v>Sept 13 Q15 approved: Workspace Business aliases created; setup/tests pending. SES/Resend unselected. SMTP/Mailpit foundation only; production delivery pending. PLAN.md §20.</v>
      </c>
    </row>
    <row r="158" spans="1:4" ht="15" customHeight="1">
      <c r="A158" s="9" t="s">
        <v>674</v>
      </c>
      <c r="B158" s="10" t="s">
        <v>675</v>
      </c>
      <c r="C158" s="13" t="s">
        <v>21</v>
      </c>
      <c r="D158" s="11" t="s">
        <v>676</v>
      </c>
    </row>
    <row r="159" spans="1:4" ht="15" customHeight="1">
      <c r="A159" s="5" t="s">
        <v>677</v>
      </c>
      <c r="B159" s="6" t="str">
        <v>Validate processing, refunds, chargebacks, taxes, standard commission, payouts and programme costs. No Founders discount.</v>
      </c>
      <c r="C159" s="13" t="s">
        <v>21</v>
      </c>
      <c r="D159" s="8" t="str">
        <v>Q131: 20/80 target, actual economics pending. Q132: standard fees for Founders; cash-prize events need separate budgets.</v>
      </c>
    </row>
    <row r="160" spans="1:4" ht="36" customHeight="1">
      <c r="A160" s="9" t="s">
        <v>680</v>
      </c>
      <c r="B160" s="10" t="s">
        <v>681</v>
      </c>
      <c r="C160" s="12" t="s">
        <v>26</v>
      </c>
      <c r="D160" s="11" t="s">
        <v>682</v>
      </c>
    </row>
    <row r="161" spans="1:4" ht="24" customHeight="1">
      <c r="A161" s="5" t="s">
        <v>683</v>
      </c>
      <c r="B161" s="6" t="s">
        <v>684</v>
      </c>
      <c r="C161" s="12" t="s">
        <v>26</v>
      </c>
      <c r="D161" s="8" t="s">
        <v>685</v>
      </c>
    </row>
    <row r="162" spans="1:4" ht="15" customHeight="1">
      <c r="A162" s="9" t="s">
        <v>686</v>
      </c>
      <c r="B162" s="10" t="s">
        <v>687</v>
      </c>
      <c r="C162" s="13" t="s">
        <v>21</v>
      </c>
      <c r="D162" s="11" t="s">
        <v>688</v>
      </c>
    </row>
    <row r="163" spans="1:4" ht="24" customHeight="1">
      <c r="A163" s="5" t="s">
        <v>689</v>
      </c>
      <c r="B163" s="6" t="s">
        <v>690</v>
      </c>
      <c r="C163" s="12" t="s">
        <v>26</v>
      </c>
      <c r="D163" s="8" t="s">
        <v>691</v>
      </c>
    </row>
    <row r="164" spans="1:4" ht="31.5" customHeight="1">
      <c r="A164" s="9" t="s">
        <v>692</v>
      </c>
      <c r="B164" s="10" t="s">
        <v>693</v>
      </c>
      <c r="C164" s="13" t="s">
        <v>21</v>
      </c>
      <c r="D164" s="11" t="s">
        <v>694</v>
      </c>
    </row>
    <row r="165" spans="1:4" ht="15.75" customHeight="1"/>
    <row r="166" spans="1:4" ht="15.75" customHeight="1"/>
    <row r="167" spans="1:4" ht="15.75" customHeight="1"/>
    <row r="168" spans="1:4" ht="15.75" customHeight="1"/>
    <row r="169" spans="1:4" ht="15.75" customHeight="1"/>
    <row r="170" spans="1:4" ht="15.75" customHeight="1"/>
    <row r="171" spans="1:4" ht="15.75" customHeight="1"/>
    <row r="172" spans="1:4" ht="15.75" customHeight="1"/>
    <row r="173" spans="1:4" ht="15.75" customHeight="1"/>
    <row r="174" spans="1:4" ht="15.75" customHeight="1"/>
    <row r="175" spans="1:4" ht="15.75" customHeight="1"/>
    <row r="176" spans="1:4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A142:D142"/>
    <mergeCell ref="A125:D125"/>
    <mergeCell ref="A133:D133"/>
    <mergeCell ref="A1:D1"/>
    <mergeCell ref="A2:D2"/>
    <mergeCell ref="A4:D4"/>
    <mergeCell ref="A10:D10"/>
    <mergeCell ref="A35:D35"/>
    <mergeCell ref="A44:D44"/>
    <mergeCell ref="A55:D55"/>
    <mergeCell ref="A63:D63"/>
    <mergeCell ref="A86:D86"/>
    <mergeCell ref="A93:D93"/>
    <mergeCell ref="A105:D105"/>
    <mergeCell ref="A119:D1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/>
  </sheetViews>
  <sheetFormatPr defaultColWidth="14.42578125" defaultRowHeight="15"/>
  <cols>
    <col min="1" max="1" width="49.140625" customWidth="1"/>
    <col min="2" max="2" width="16" customWidth="1"/>
    <col min="3" max="3" width="52" customWidth="1"/>
    <col min="4" max="4" width="12" customWidth="1"/>
    <col min="5" max="5" width="18" customWidth="1"/>
    <col min="6" max="6" width="52" customWidth="1"/>
    <col min="7" max="26" width="8.7109375" customWidth="1"/>
  </cols>
  <sheetData>
    <row r="1" spans="1:6" ht="25.5" customHeight="1">
      <c r="A1" s="4" t="s">
        <v>330</v>
      </c>
      <c r="B1" s="4" t="s">
        <v>331</v>
      </c>
      <c r="C1" s="4" t="s">
        <v>332</v>
      </c>
      <c r="D1" s="4" t="s">
        <v>333</v>
      </c>
      <c r="E1" s="4" t="s">
        <v>4</v>
      </c>
      <c r="F1" s="4" t="s">
        <v>334</v>
      </c>
    </row>
    <row r="2" spans="1:6" ht="28.5">
      <c r="A2" s="9" t="s">
        <v>335</v>
      </c>
      <c r="B2" s="10" t="s">
        <v>336</v>
      </c>
      <c r="C2" s="10" t="s">
        <v>337</v>
      </c>
      <c r="D2" s="10" t="s">
        <v>338</v>
      </c>
      <c r="E2" s="13" t="s">
        <v>21</v>
      </c>
      <c r="F2" s="10" t="s">
        <v>339</v>
      </c>
    </row>
    <row r="3" spans="1:6" ht="42.75">
      <c r="A3" s="5" t="s">
        <v>340</v>
      </c>
      <c r="B3" s="6" t="s">
        <v>336</v>
      </c>
      <c r="C3" s="10" t="s">
        <v>695</v>
      </c>
      <c r="D3" s="6" t="s">
        <v>338</v>
      </c>
      <c r="E3" s="13" t="s">
        <v>21</v>
      </c>
      <c r="F3" s="10" t="s">
        <v>696</v>
      </c>
    </row>
    <row r="4" spans="1:6" ht="28.5">
      <c r="A4" s="9" t="s">
        <v>341</v>
      </c>
      <c r="B4" s="10" t="s">
        <v>342</v>
      </c>
      <c r="C4" s="10" t="s">
        <v>697</v>
      </c>
      <c r="D4" s="10" t="s">
        <v>698</v>
      </c>
      <c r="E4" s="33" t="s">
        <v>699</v>
      </c>
      <c r="F4" s="10" t="s">
        <v>700</v>
      </c>
    </row>
    <row r="5" spans="1:6" ht="28.5">
      <c r="A5" s="5" t="s">
        <v>343</v>
      </c>
      <c r="B5" s="6" t="s">
        <v>342</v>
      </c>
      <c r="C5" s="6" t="s">
        <v>697</v>
      </c>
      <c r="D5" s="6" t="s">
        <v>698</v>
      </c>
      <c r="E5" s="33" t="s">
        <v>699</v>
      </c>
      <c r="F5" s="6" t="s">
        <v>701</v>
      </c>
    </row>
    <row r="6" spans="1:6">
      <c r="A6" s="9" t="s">
        <v>344</v>
      </c>
      <c r="B6" s="10" t="s">
        <v>345</v>
      </c>
      <c r="C6" s="10" t="s">
        <v>346</v>
      </c>
      <c r="D6" s="10" t="s">
        <v>338</v>
      </c>
      <c r="E6" s="13" t="s">
        <v>21</v>
      </c>
      <c r="F6" s="10" t="s">
        <v>339</v>
      </c>
    </row>
    <row r="7" spans="1:6">
      <c r="A7" s="5" t="s">
        <v>347</v>
      </c>
      <c r="B7" s="6" t="s">
        <v>348</v>
      </c>
      <c r="C7" s="6" t="s">
        <v>349</v>
      </c>
      <c r="D7" s="6" t="s">
        <v>350</v>
      </c>
      <c r="E7" s="13" t="s">
        <v>21</v>
      </c>
      <c r="F7" s="6" t="s">
        <v>339</v>
      </c>
    </row>
    <row r="8" spans="1:6" ht="30">
      <c r="A8" s="9" t="s">
        <v>702</v>
      </c>
      <c r="B8" s="10" t="s">
        <v>351</v>
      </c>
      <c r="C8" s="10" t="s">
        <v>352</v>
      </c>
      <c r="D8" s="10" t="s">
        <v>350</v>
      </c>
      <c r="E8" s="13" t="s">
        <v>21</v>
      </c>
      <c r="F8" s="10" t="s">
        <v>353</v>
      </c>
    </row>
    <row r="9" spans="1:6" ht="28.5">
      <c r="A9" s="5" t="s">
        <v>354</v>
      </c>
      <c r="B9" s="6" t="s">
        <v>336</v>
      </c>
      <c r="C9" s="6" t="s">
        <v>697</v>
      </c>
      <c r="D9" s="6" t="s">
        <v>698</v>
      </c>
      <c r="E9" s="33" t="s">
        <v>699</v>
      </c>
      <c r="F9" s="6" t="s">
        <v>703</v>
      </c>
    </row>
    <row r="10" spans="1:6">
      <c r="A10" s="9" t="s">
        <v>355</v>
      </c>
      <c r="B10" s="10" t="s">
        <v>342</v>
      </c>
      <c r="C10" s="10" t="s">
        <v>356</v>
      </c>
      <c r="D10" s="10" t="s">
        <v>338</v>
      </c>
      <c r="E10" s="13" t="s">
        <v>21</v>
      </c>
      <c r="F10" s="10" t="s">
        <v>357</v>
      </c>
    </row>
    <row r="11" spans="1:6">
      <c r="A11" s="5" t="s">
        <v>358</v>
      </c>
      <c r="B11" s="6" t="s">
        <v>342</v>
      </c>
      <c r="C11" s="6" t="s">
        <v>359</v>
      </c>
      <c r="D11" s="6" t="s">
        <v>338</v>
      </c>
      <c r="E11" s="13" t="s">
        <v>21</v>
      </c>
      <c r="F11" s="6" t="s">
        <v>360</v>
      </c>
    </row>
    <row r="12" spans="1:6">
      <c r="A12" s="9" t="s">
        <v>361</v>
      </c>
      <c r="B12" s="10" t="s">
        <v>362</v>
      </c>
      <c r="C12" s="10" t="s">
        <v>363</v>
      </c>
      <c r="D12" s="10" t="s">
        <v>338</v>
      </c>
      <c r="E12" s="13" t="s">
        <v>21</v>
      </c>
      <c r="F12" s="10" t="s">
        <v>364</v>
      </c>
    </row>
    <row r="13" spans="1:6">
      <c r="A13" s="5" t="s">
        <v>365</v>
      </c>
      <c r="B13" s="6" t="s">
        <v>366</v>
      </c>
      <c r="C13" s="6" t="s">
        <v>367</v>
      </c>
      <c r="D13" s="6" t="s">
        <v>368</v>
      </c>
      <c r="E13" s="13" t="s">
        <v>21</v>
      </c>
      <c r="F13" s="6" t="s">
        <v>369</v>
      </c>
    </row>
    <row r="14" spans="1:6">
      <c r="A14" s="9"/>
      <c r="B14" s="10"/>
      <c r="C14" s="10"/>
      <c r="D14" s="10"/>
      <c r="E14" s="13"/>
      <c r="F14" s="10"/>
    </row>
    <row r="15" spans="1:6" ht="72">
      <c r="A15" s="30" t="s">
        <v>370</v>
      </c>
      <c r="B15" s="31" t="s">
        <v>371</v>
      </c>
      <c r="C15" s="32" t="s">
        <v>372</v>
      </c>
      <c r="D15" s="31" t="s">
        <v>338</v>
      </c>
      <c r="E15" s="33" t="s">
        <v>21</v>
      </c>
      <c r="F15" s="32" t="s">
        <v>373</v>
      </c>
    </row>
    <row r="16" spans="1:6" ht="72">
      <c r="A16" s="34" t="s">
        <v>374</v>
      </c>
      <c r="B16" s="35" t="s">
        <v>375</v>
      </c>
      <c r="C16" s="36" t="s">
        <v>376</v>
      </c>
      <c r="D16" s="35" t="s">
        <v>350</v>
      </c>
      <c r="E16" s="33" t="s">
        <v>21</v>
      </c>
      <c r="F16" s="36" t="s">
        <v>377</v>
      </c>
    </row>
    <row r="17" spans="1:6" ht="43.5">
      <c r="A17" s="37" t="s">
        <v>378</v>
      </c>
      <c r="B17" s="38" t="s">
        <v>351</v>
      </c>
      <c r="C17" s="39" t="s">
        <v>379</v>
      </c>
      <c r="D17" s="38" t="s">
        <v>350</v>
      </c>
      <c r="E17" s="33" t="s">
        <v>21</v>
      </c>
      <c r="F17" s="39" t="s">
        <v>380</v>
      </c>
    </row>
    <row r="21" spans="1:6" ht="15.75" customHeight="1"/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00"/>
  <sheetViews>
    <sheetView showGridLines="0" topLeftCell="A16" workbookViewId="0">
      <selection activeCell="H32" sqref="H32"/>
    </sheetView>
  </sheetViews>
  <sheetFormatPr defaultColWidth="14.42578125" defaultRowHeight="15"/>
  <cols>
    <col min="1" max="1" width="21" customWidth="1"/>
    <col min="2" max="2" width="110" customWidth="1"/>
    <col min="3" max="26" width="8.7109375" customWidth="1"/>
  </cols>
  <sheetData>
    <row r="1" spans="1:2" ht="42" customHeight="1">
      <c r="A1" s="109" t="s">
        <v>381</v>
      </c>
      <c r="B1" s="108"/>
    </row>
    <row r="3" spans="1:2">
      <c r="A3" s="4" t="s">
        <v>382</v>
      </c>
      <c r="B3" s="4" t="s">
        <v>383</v>
      </c>
    </row>
    <row r="4" spans="1:2" ht="15" customHeight="1">
      <c r="A4" s="40" t="s">
        <v>384</v>
      </c>
      <c r="B4" s="43" t="s">
        <v>704</v>
      </c>
    </row>
    <row r="5" spans="1:2">
      <c r="A5" s="42" t="s">
        <v>385</v>
      </c>
      <c r="B5" s="43" t="s">
        <v>386</v>
      </c>
    </row>
    <row r="6" spans="1:2">
      <c r="A6" s="40" t="s">
        <v>387</v>
      </c>
      <c r="B6" s="41" t="s">
        <v>388</v>
      </c>
    </row>
    <row r="7" spans="1:2">
      <c r="A7" s="42" t="s">
        <v>389</v>
      </c>
      <c r="B7" s="43" t="s">
        <v>390</v>
      </c>
    </row>
    <row r="8" spans="1:2">
      <c r="A8" s="40" t="s">
        <v>391</v>
      </c>
      <c r="B8" s="41" t="s">
        <v>392</v>
      </c>
    </row>
    <row r="9" spans="1:2">
      <c r="A9" s="42" t="s">
        <v>393</v>
      </c>
      <c r="B9" s="43" t="s">
        <v>394</v>
      </c>
    </row>
    <row r="10" spans="1:2">
      <c r="A10" s="40" t="s">
        <v>395</v>
      </c>
      <c r="B10" s="41" t="s">
        <v>396</v>
      </c>
    </row>
    <row r="11" spans="1:2">
      <c r="A11" s="42" t="s">
        <v>397</v>
      </c>
      <c r="B11" s="43" t="s">
        <v>398</v>
      </c>
    </row>
    <row r="12" spans="1:2" ht="28.5">
      <c r="A12" s="40" t="s">
        <v>399</v>
      </c>
      <c r="B12" s="41" t="s">
        <v>400</v>
      </c>
    </row>
    <row r="13" spans="1:2" ht="28.5">
      <c r="A13" s="42" t="s">
        <v>401</v>
      </c>
      <c r="B13" s="43" t="s">
        <v>705</v>
      </c>
    </row>
    <row r="14" spans="1:2" ht="28.5">
      <c r="A14" s="40" t="s">
        <v>402</v>
      </c>
      <c r="B14" s="41" t="s">
        <v>706</v>
      </c>
    </row>
    <row r="15" spans="1:2" ht="28.5">
      <c r="A15" s="42" t="s">
        <v>403</v>
      </c>
      <c r="B15" s="43" t="s">
        <v>404</v>
      </c>
    </row>
    <row r="17" spans="1:2" ht="15.75">
      <c r="A17" s="111" t="s">
        <v>405</v>
      </c>
      <c r="B17" s="112"/>
    </row>
    <row r="18" spans="1:2">
      <c r="A18" s="44" t="s">
        <v>406</v>
      </c>
      <c r="B18" s="45" t="s">
        <v>407</v>
      </c>
    </row>
    <row r="19" spans="1:2">
      <c r="A19" s="44" t="s">
        <v>406</v>
      </c>
      <c r="B19" s="45" t="s">
        <v>408</v>
      </c>
    </row>
    <row r="20" spans="1:2">
      <c r="A20" s="44" t="s">
        <v>406</v>
      </c>
      <c r="B20" s="45" t="s">
        <v>409</v>
      </c>
    </row>
    <row r="21" spans="1:2" ht="15.75" customHeight="1">
      <c r="A21" s="44" t="s">
        <v>406</v>
      </c>
      <c r="B21" s="45" t="s">
        <v>410</v>
      </c>
    </row>
    <row r="22" spans="1:2" ht="15.75" customHeight="1">
      <c r="A22" s="44" t="s">
        <v>406</v>
      </c>
      <c r="B22" s="45" t="s">
        <v>411</v>
      </c>
    </row>
    <row r="23" spans="1:2" ht="15.75" customHeight="1">
      <c r="A23" s="44"/>
      <c r="B23" s="45"/>
    </row>
    <row r="24" spans="1:2" ht="15.75" customHeight="1">
      <c r="A24" s="44" t="s">
        <v>406</v>
      </c>
      <c r="B24" s="45" t="s">
        <v>412</v>
      </c>
    </row>
    <row r="25" spans="1:2" ht="15.75" customHeight="1">
      <c r="A25" s="44" t="s">
        <v>406</v>
      </c>
      <c r="B25" s="45" t="s">
        <v>413</v>
      </c>
    </row>
    <row r="26" spans="1:2" ht="15.75" customHeight="1">
      <c r="A26" s="44" t="s">
        <v>406</v>
      </c>
      <c r="B26" s="45" t="s">
        <v>707</v>
      </c>
    </row>
    <row r="27" spans="1:2" ht="15.75" customHeight="1">
      <c r="A27" s="44" t="s">
        <v>406</v>
      </c>
      <c r="B27" s="45" t="s">
        <v>708</v>
      </c>
    </row>
    <row r="28" spans="1:2" ht="15.75" customHeight="1">
      <c r="A28" s="44" t="s">
        <v>406</v>
      </c>
      <c r="B28" s="45" t="s">
        <v>414</v>
      </c>
    </row>
    <row r="29" spans="1:2" ht="15.75" customHeight="1">
      <c r="A29" s="44" t="s">
        <v>406</v>
      </c>
      <c r="B29" s="45" t="s">
        <v>415</v>
      </c>
    </row>
    <row r="30" spans="1:2" ht="15.75" customHeight="1">
      <c r="A30" s="44" t="s">
        <v>406</v>
      </c>
      <c r="B30" s="45" t="s">
        <v>416</v>
      </c>
    </row>
    <row r="31" spans="1:2" ht="39.6" customHeight="1">
      <c r="A31" s="44" t="s">
        <v>406</v>
      </c>
      <c r="B31" s="45" t="s">
        <v>709</v>
      </c>
    </row>
    <row r="32" spans="1:2" ht="15.75" customHeight="1">
      <c r="A32" s="44" t="s">
        <v>406</v>
      </c>
      <c r="B32" s="45" t="s">
        <v>710</v>
      </c>
    </row>
    <row r="33" spans="1:2" ht="15.75" customHeight="1">
      <c r="A33" s="44" t="s">
        <v>406</v>
      </c>
      <c r="B33" s="45" t="s">
        <v>417</v>
      </c>
    </row>
    <row r="34" spans="1:2" ht="15.75" customHeight="1">
      <c r="A34" s="44" t="s">
        <v>406</v>
      </c>
      <c r="B34" s="45" t="s">
        <v>418</v>
      </c>
    </row>
    <row r="35" spans="1:2" ht="15.75" customHeight="1">
      <c r="A35" s="44" t="s">
        <v>406</v>
      </c>
      <c r="B35" s="45" t="s">
        <v>419</v>
      </c>
    </row>
    <row r="36" spans="1:2" ht="15.75" customHeight="1">
      <c r="A36" s="44" t="s">
        <v>406</v>
      </c>
      <c r="B36" s="45" t="s">
        <v>420</v>
      </c>
    </row>
    <row r="37" spans="1:2" ht="15.75" customHeight="1">
      <c r="A37" s="44" t="s">
        <v>406</v>
      </c>
      <c r="B37" s="45" t="s">
        <v>421</v>
      </c>
    </row>
    <row r="38" spans="1:2" ht="15.75" customHeight="1">
      <c r="A38" s="44" t="s">
        <v>406</v>
      </c>
      <c r="B38" s="45" t="s">
        <v>422</v>
      </c>
    </row>
    <row r="39" spans="1:2" ht="15.75" customHeight="1">
      <c r="A39" s="44" t="s">
        <v>406</v>
      </c>
      <c r="B39" s="45" t="s">
        <v>423</v>
      </c>
    </row>
    <row r="40" spans="1:2" ht="15.75" customHeight="1">
      <c r="A40" s="44" t="s">
        <v>406</v>
      </c>
      <c r="B40" s="45" t="s">
        <v>424</v>
      </c>
    </row>
    <row r="41" spans="1:2" ht="15.75" customHeight="1">
      <c r="A41" s="44" t="s">
        <v>406</v>
      </c>
      <c r="B41" s="45" t="s">
        <v>711</v>
      </c>
    </row>
    <row r="42" spans="1:2" ht="15.75" customHeight="1"/>
    <row r="43" spans="1:2" ht="15" customHeight="1">
      <c r="A43" s="113" t="s">
        <v>712</v>
      </c>
      <c r="B43" s="112"/>
    </row>
    <row r="44" spans="1:2" ht="26.45" customHeight="1">
      <c r="A44" s="46" t="s">
        <v>713</v>
      </c>
      <c r="B44" s="46" t="s">
        <v>714</v>
      </c>
    </row>
    <row r="45" spans="1:2" ht="26.45" customHeight="1">
      <c r="A45" s="48" t="s">
        <v>715</v>
      </c>
      <c r="B45" s="49" t="s">
        <v>716</v>
      </c>
    </row>
    <row r="46" spans="1:2" ht="26.45" customHeight="1">
      <c r="A46" s="48" t="s">
        <v>717</v>
      </c>
      <c r="B46" s="49" t="s">
        <v>718</v>
      </c>
    </row>
    <row r="47" spans="1:2" ht="39.6" customHeight="1">
      <c r="A47" s="48" t="s">
        <v>719</v>
      </c>
      <c r="B47" s="49" t="s">
        <v>720</v>
      </c>
    </row>
    <row r="48" spans="1:2" ht="26.45" customHeight="1">
      <c r="A48" s="48" t="s">
        <v>721</v>
      </c>
      <c r="B48" s="49" t="s">
        <v>722</v>
      </c>
    </row>
    <row r="49" spans="1:2" ht="26.45" customHeight="1">
      <c r="A49" s="48" t="s">
        <v>723</v>
      </c>
      <c r="B49" s="49" t="s">
        <v>724</v>
      </c>
    </row>
    <row r="50" spans="1:2" ht="15" customHeight="1">
      <c r="A50" s="47"/>
      <c r="B50" s="47"/>
    </row>
    <row r="51" spans="1:2" ht="15" customHeight="1">
      <c r="A51" s="48"/>
      <c r="B51" s="49"/>
    </row>
    <row r="52" spans="1:2" ht="15" customHeight="1">
      <c r="A52" s="114" t="s">
        <v>725</v>
      </c>
      <c r="B52" s="115"/>
    </row>
    <row r="53" spans="1:2" ht="15" customHeight="1">
      <c r="A53" s="54" t="s">
        <v>406</v>
      </c>
      <c r="B53" s="55" t="s">
        <v>726</v>
      </c>
    </row>
    <row r="54" spans="1:2" ht="15" customHeight="1">
      <c r="A54" s="54" t="s">
        <v>406</v>
      </c>
      <c r="B54" s="55" t="s">
        <v>727</v>
      </c>
    </row>
    <row r="55" spans="1:2" ht="15" customHeight="1">
      <c r="A55" s="54" t="s">
        <v>406</v>
      </c>
      <c r="B55" s="55" t="s">
        <v>728</v>
      </c>
    </row>
    <row r="56" spans="1:2" ht="15" customHeight="1">
      <c r="A56" s="54" t="s">
        <v>406</v>
      </c>
      <c r="B56" s="56" t="s">
        <v>729</v>
      </c>
    </row>
    <row r="57" spans="1:2" ht="26.45" customHeight="1">
      <c r="A57" s="57" t="s">
        <v>406</v>
      </c>
      <c r="B57" s="55" t="s">
        <v>730</v>
      </c>
    </row>
    <row r="58" spans="1:2" ht="15" customHeight="1">
      <c r="A58" s="54" t="s">
        <v>406</v>
      </c>
      <c r="B58" s="55" t="s">
        <v>731</v>
      </c>
    </row>
    <row r="59" spans="1:2" ht="15" customHeight="1">
      <c r="A59" s="54" t="s">
        <v>406</v>
      </c>
      <c r="B59" s="55" t="s">
        <v>732</v>
      </c>
    </row>
    <row r="60" spans="1:2" ht="26.45" customHeight="1">
      <c r="A60" s="54" t="s">
        <v>406</v>
      </c>
      <c r="B60" s="55" t="s">
        <v>733</v>
      </c>
    </row>
    <row r="61" spans="1:2" ht="15" customHeight="1">
      <c r="A61" s="48"/>
      <c r="B61" s="49"/>
    </row>
    <row r="62" spans="1:2" ht="15" customHeight="1">
      <c r="A62" s="114" t="s">
        <v>734</v>
      </c>
      <c r="B62" s="115"/>
    </row>
    <row r="63" spans="1:2" ht="15" customHeight="1">
      <c r="A63" s="47" t="s">
        <v>406</v>
      </c>
      <c r="B63" s="50" t="s">
        <v>735</v>
      </c>
    </row>
    <row r="64" spans="1:2" ht="15" customHeight="1">
      <c r="A64" t="s">
        <v>406</v>
      </c>
      <c r="B64" s="49" t="s">
        <v>736</v>
      </c>
    </row>
    <row r="65" spans="1:2" ht="39.6" customHeight="1">
      <c r="A65" t="s">
        <v>406</v>
      </c>
      <c r="B65" s="58" t="s">
        <v>737</v>
      </c>
    </row>
    <row r="66" spans="1:2" ht="15.75" customHeight="1">
      <c r="A66" s="113" t="s">
        <v>738</v>
      </c>
      <c r="B66" s="112"/>
    </row>
    <row r="67" spans="1:2" ht="28.5" customHeight="1">
      <c r="A67" s="48" t="s">
        <v>406</v>
      </c>
      <c r="B67" s="49" t="s">
        <v>739</v>
      </c>
    </row>
    <row r="68" spans="1:2" ht="28.5" customHeight="1">
      <c r="A68" s="48" t="s">
        <v>406</v>
      </c>
      <c r="B68" s="49" t="s">
        <v>740</v>
      </c>
    </row>
    <row r="69" spans="1:2" ht="28.5" customHeight="1">
      <c r="A69" s="48" t="s">
        <v>406</v>
      </c>
      <c r="B69" s="49" t="s">
        <v>741</v>
      </c>
    </row>
    <row r="70" spans="1:2" ht="28.5" customHeight="1">
      <c r="A70" s="48" t="s">
        <v>406</v>
      </c>
      <c r="B70" s="49" t="s">
        <v>742</v>
      </c>
    </row>
    <row r="71" spans="1:2" ht="28.5" customHeight="1">
      <c r="A71" s="48" t="s">
        <v>406</v>
      </c>
      <c r="B71" s="49" t="s">
        <v>743</v>
      </c>
    </row>
    <row r="72" spans="1:2" ht="28.5" customHeight="1">
      <c r="A72" s="48" t="s">
        <v>406</v>
      </c>
      <c r="B72" s="49" t="s">
        <v>744</v>
      </c>
    </row>
    <row r="73" spans="1:2" ht="28.5" customHeight="1">
      <c r="A73" s="48"/>
      <c r="B73" s="49"/>
    </row>
    <row r="74" spans="1:2" ht="28.5" customHeight="1">
      <c r="A74" s="48"/>
      <c r="B74" s="49"/>
    </row>
    <row r="75" spans="1:2" ht="28.5" customHeight="1">
      <c r="A75" s="48" t="s">
        <v>406</v>
      </c>
      <c r="B75" s="49" t="s">
        <v>745</v>
      </c>
    </row>
    <row r="76" spans="1:2" ht="28.5" customHeight="1">
      <c r="A76" s="48" t="s">
        <v>406</v>
      </c>
      <c r="B76" s="49" t="s">
        <v>746</v>
      </c>
    </row>
    <row r="77" spans="1:2" ht="28.5" customHeight="1">
      <c r="A77" s="48" t="s">
        <v>406</v>
      </c>
      <c r="B77" s="49" t="s">
        <v>747</v>
      </c>
    </row>
    <row r="78" spans="1:2" ht="28.5" customHeight="1">
      <c r="A78" s="48" t="s">
        <v>406</v>
      </c>
      <c r="B78" s="49" t="s">
        <v>748</v>
      </c>
    </row>
    <row r="79" spans="1:2" ht="26.45" customHeight="1">
      <c r="A79" s="48" t="s">
        <v>406</v>
      </c>
      <c r="B79" s="49" t="s">
        <v>749</v>
      </c>
    </row>
    <row r="80" spans="1:2" ht="28.5" customHeight="1">
      <c r="A80" s="48" t="s">
        <v>406</v>
      </c>
      <c r="B80" s="49" t="s">
        <v>750</v>
      </c>
    </row>
    <row r="81" spans="1:2" ht="28.5" customHeight="1">
      <c r="A81" s="48" t="s">
        <v>406</v>
      </c>
      <c r="B81" s="49" t="s">
        <v>751</v>
      </c>
    </row>
    <row r="82" spans="1:2" ht="28.5" customHeight="1">
      <c r="A82" s="48" t="s">
        <v>406</v>
      </c>
      <c r="B82" s="49" t="s">
        <v>752</v>
      </c>
    </row>
    <row r="83" spans="1:2" ht="28.5" customHeight="1">
      <c r="A83" s="48" t="s">
        <v>406</v>
      </c>
      <c r="B83" s="49" t="s">
        <v>753</v>
      </c>
    </row>
    <row r="84" spans="1:2" ht="28.5" customHeight="1">
      <c r="A84" s="48" t="s">
        <v>406</v>
      </c>
      <c r="B84" s="49" t="s">
        <v>754</v>
      </c>
    </row>
    <row r="85" spans="1:2" ht="28.5" customHeight="1">
      <c r="A85" s="48" t="s">
        <v>406</v>
      </c>
      <c r="B85" s="49" t="s">
        <v>755</v>
      </c>
    </row>
    <row r="86" spans="1:2" ht="28.5" customHeight="1">
      <c r="A86" s="48" t="s">
        <v>406</v>
      </c>
      <c r="B86" s="49" t="s">
        <v>756</v>
      </c>
    </row>
    <row r="87" spans="1:2" ht="28.5" customHeight="1">
      <c r="A87" s="48" t="s">
        <v>406</v>
      </c>
      <c r="B87" s="49" t="s">
        <v>757</v>
      </c>
    </row>
    <row r="88" spans="1:2" ht="28.5" customHeight="1">
      <c r="A88" s="48" t="s">
        <v>406</v>
      </c>
      <c r="B88" s="49" t="s">
        <v>758</v>
      </c>
    </row>
    <row r="89" spans="1:2" ht="28.5" customHeight="1">
      <c r="A89" s="48" t="s">
        <v>406</v>
      </c>
      <c r="B89" s="49" t="s">
        <v>759</v>
      </c>
    </row>
    <row r="90" spans="1:2" ht="28.5" customHeight="1">
      <c r="A90" s="48" t="s">
        <v>406</v>
      </c>
      <c r="B90" s="49" t="s">
        <v>760</v>
      </c>
    </row>
    <row r="91" spans="1:2" ht="28.5" customHeight="1">
      <c r="A91" s="48" t="s">
        <v>406</v>
      </c>
      <c r="B91" s="49" t="s">
        <v>761</v>
      </c>
    </row>
    <row r="92" spans="1:2" ht="28.5" customHeight="1">
      <c r="A92" s="48" t="s">
        <v>406</v>
      </c>
      <c r="B92" s="49" t="s">
        <v>762</v>
      </c>
    </row>
    <row r="93" spans="1:2" ht="28.5" customHeight="1">
      <c r="A93" s="48" t="s">
        <v>406</v>
      </c>
      <c r="B93" s="49" t="s">
        <v>763</v>
      </c>
    </row>
    <row r="94" spans="1:2" ht="28.5" customHeight="1">
      <c r="A94" s="48" t="s">
        <v>406</v>
      </c>
      <c r="B94" s="49" t="s">
        <v>764</v>
      </c>
    </row>
    <row r="95" spans="1:2" ht="28.5" customHeight="1">
      <c r="A95" s="48" t="s">
        <v>406</v>
      </c>
      <c r="B95" s="49" t="s">
        <v>765</v>
      </c>
    </row>
    <row r="96" spans="1:2" ht="28.5" customHeight="1">
      <c r="A96" s="48" t="s">
        <v>406</v>
      </c>
      <c r="B96" s="49" t="s">
        <v>766</v>
      </c>
    </row>
    <row r="97" spans="1:2" ht="42" customHeight="1">
      <c r="A97" s="116" t="s">
        <v>767</v>
      </c>
      <c r="B97" s="116"/>
    </row>
    <row r="98" spans="1:2" ht="42" customHeight="1">
      <c r="A98" s="96" t="s">
        <v>768</v>
      </c>
      <c r="B98" s="96"/>
    </row>
    <row r="99" spans="1:2" ht="42" customHeight="1">
      <c r="A99" s="66" t="s">
        <v>570</v>
      </c>
      <c r="B99" s="60" t="s">
        <v>769</v>
      </c>
    </row>
    <row r="100" spans="1:2" ht="42" customHeight="1">
      <c r="A100" s="67" t="s">
        <v>563</v>
      </c>
      <c r="B100" s="62" t="s">
        <v>770</v>
      </c>
    </row>
    <row r="101" spans="1:2" ht="42" customHeight="1">
      <c r="A101" s="67" t="s">
        <v>519</v>
      </c>
      <c r="B101" s="62" t="s">
        <v>771</v>
      </c>
    </row>
    <row r="102" spans="1:2" ht="42" customHeight="1">
      <c r="A102" s="67" t="s">
        <v>537</v>
      </c>
      <c r="B102" s="62" t="s">
        <v>772</v>
      </c>
    </row>
    <row r="103" spans="1:2" ht="42" customHeight="1">
      <c r="A103" s="67" t="s">
        <v>773</v>
      </c>
      <c r="B103" s="62" t="s">
        <v>774</v>
      </c>
    </row>
    <row r="104" spans="1:2" ht="42" customHeight="1">
      <c r="A104" s="67" t="s">
        <v>512</v>
      </c>
      <c r="B104" s="62" t="s">
        <v>775</v>
      </c>
    </row>
    <row r="105" spans="1:2" ht="42" customHeight="1">
      <c r="A105" s="67" t="s">
        <v>559</v>
      </c>
      <c r="B105" s="62" t="s">
        <v>776</v>
      </c>
    </row>
    <row r="106" spans="1:2" ht="42" customHeight="1">
      <c r="A106" s="67" t="s">
        <v>565</v>
      </c>
      <c r="B106" s="62" t="s">
        <v>777</v>
      </c>
    </row>
    <row r="107" spans="1:2" ht="42" customHeight="1">
      <c r="A107" s="67" t="s">
        <v>778</v>
      </c>
      <c r="B107" s="62" t="s">
        <v>779</v>
      </c>
    </row>
    <row r="108" spans="1:2" ht="15.75" customHeight="1"/>
    <row r="109" spans="1:2" ht="15.75" customHeight="1"/>
    <row r="110" spans="1:2" ht="15.75" customHeight="1"/>
    <row r="111" spans="1:2" ht="15.75" customHeight="1"/>
    <row r="112" spans="1: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97:B97"/>
    <mergeCell ref="A98:B98"/>
    <mergeCell ref="A1:B1"/>
    <mergeCell ref="A17:B17"/>
    <mergeCell ref="A43:B43"/>
    <mergeCell ref="A66:B66"/>
    <mergeCell ref="A52:B52"/>
    <mergeCell ref="A62:B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00"/>
  <sheetViews>
    <sheetView workbookViewId="0">
      <selection sqref="A1:H1"/>
    </sheetView>
  </sheetViews>
  <sheetFormatPr defaultColWidth="14.42578125" defaultRowHeight="15"/>
  <cols>
    <col min="1" max="1" width="38" customWidth="1"/>
    <col min="2" max="2" width="16" customWidth="1"/>
    <col min="3" max="3" width="12" customWidth="1"/>
    <col min="4" max="4" width="16" customWidth="1"/>
    <col min="5" max="6" width="14" customWidth="1"/>
    <col min="7" max="7" width="16" customWidth="1"/>
    <col min="8" max="8" width="54" customWidth="1"/>
    <col min="9" max="26" width="8.7109375" customWidth="1"/>
  </cols>
  <sheetData>
    <row r="1" spans="1:8" ht="39.75" customHeight="1">
      <c r="A1" s="109" t="s">
        <v>425</v>
      </c>
      <c r="B1" s="107"/>
      <c r="C1" s="107"/>
      <c r="D1" s="107"/>
      <c r="E1" s="107"/>
      <c r="F1" s="107"/>
      <c r="G1" s="107"/>
      <c r="H1" s="108"/>
    </row>
    <row r="2" spans="1:8" ht="30" customHeight="1">
      <c r="A2" s="117" t="s">
        <v>780</v>
      </c>
      <c r="B2" s="118"/>
      <c r="C2" s="118"/>
      <c r="D2" s="118"/>
      <c r="E2" s="118"/>
      <c r="F2" s="118"/>
      <c r="G2" s="118"/>
      <c r="H2" s="118"/>
    </row>
    <row r="3" spans="1:8" ht="25.5" customHeight="1">
      <c r="A3" s="51" t="s">
        <v>426</v>
      </c>
      <c r="B3" s="51" t="s">
        <v>331</v>
      </c>
      <c r="C3" s="51" t="s">
        <v>427</v>
      </c>
      <c r="D3" s="51" t="s">
        <v>428</v>
      </c>
      <c r="E3" s="51" t="s">
        <v>429</v>
      </c>
      <c r="F3" s="51" t="s">
        <v>430</v>
      </c>
      <c r="G3" s="51" t="s">
        <v>4</v>
      </c>
      <c r="H3" s="51" t="s">
        <v>5</v>
      </c>
    </row>
    <row r="4" spans="1:8" ht="25.5" customHeight="1">
      <c r="A4" s="106" t="s">
        <v>431</v>
      </c>
      <c r="B4" s="107"/>
      <c r="C4" s="107"/>
      <c r="D4" s="107"/>
      <c r="E4" s="107"/>
      <c r="F4" s="107"/>
      <c r="G4" s="107"/>
      <c r="H4" s="108"/>
    </row>
    <row r="5" spans="1:8">
      <c r="A5" s="5" t="s">
        <v>432</v>
      </c>
      <c r="B5" s="6" t="s">
        <v>433</v>
      </c>
      <c r="C5" s="6" t="s">
        <v>434</v>
      </c>
      <c r="D5" s="6">
        <v>500</v>
      </c>
      <c r="E5" s="6"/>
      <c r="F5" s="6" t="s">
        <v>435</v>
      </c>
      <c r="G5" s="13" t="s">
        <v>436</v>
      </c>
      <c r="H5" s="6" t="s">
        <v>437</v>
      </c>
    </row>
    <row r="6" spans="1:8">
      <c r="A6" s="9" t="s">
        <v>438</v>
      </c>
      <c r="B6" s="10" t="s">
        <v>433</v>
      </c>
      <c r="C6" s="10" t="s">
        <v>434</v>
      </c>
      <c r="D6" s="10">
        <v>500</v>
      </c>
      <c r="E6" s="10"/>
      <c r="F6" s="10" t="s">
        <v>435</v>
      </c>
      <c r="G6" s="13" t="s">
        <v>436</v>
      </c>
      <c r="H6" s="10" t="s">
        <v>439</v>
      </c>
    </row>
    <row r="7" spans="1:8">
      <c r="A7" s="5" t="s">
        <v>440</v>
      </c>
      <c r="B7" s="6" t="s">
        <v>433</v>
      </c>
      <c r="C7" s="6" t="s">
        <v>434</v>
      </c>
      <c r="D7" s="6">
        <v>0</v>
      </c>
      <c r="E7" s="6"/>
      <c r="F7" s="6" t="s">
        <v>435</v>
      </c>
      <c r="G7" s="13" t="s">
        <v>436</v>
      </c>
      <c r="H7" s="6" t="s">
        <v>441</v>
      </c>
    </row>
    <row r="8" spans="1:8">
      <c r="A8" s="9" t="s">
        <v>442</v>
      </c>
      <c r="B8" s="10" t="s">
        <v>443</v>
      </c>
      <c r="C8" s="10" t="s">
        <v>434</v>
      </c>
      <c r="D8" s="10">
        <v>350</v>
      </c>
      <c r="E8" s="10"/>
      <c r="F8" s="10" t="s">
        <v>435</v>
      </c>
      <c r="G8" s="13" t="s">
        <v>436</v>
      </c>
      <c r="H8" s="10" t="s">
        <v>444</v>
      </c>
    </row>
    <row r="9" spans="1:8">
      <c r="A9" s="5"/>
      <c r="B9" s="6"/>
      <c r="C9" s="6"/>
      <c r="D9" s="6"/>
      <c r="E9" s="6"/>
      <c r="F9" s="6"/>
      <c r="G9" s="13"/>
      <c r="H9" s="6"/>
    </row>
    <row r="10" spans="1:8" ht="65.099999999999994" customHeight="1">
      <c r="A10" s="26" t="s">
        <v>781</v>
      </c>
      <c r="B10" s="10" t="s">
        <v>443</v>
      </c>
      <c r="C10" s="10" t="s">
        <v>434</v>
      </c>
      <c r="D10" s="10">
        <v>155</v>
      </c>
      <c r="E10" s="86">
        <v>196</v>
      </c>
      <c r="F10" s="10" t="s">
        <v>435</v>
      </c>
      <c r="G10" s="87" t="s">
        <v>782</v>
      </c>
      <c r="H10" s="28" t="s">
        <v>783</v>
      </c>
    </row>
    <row r="11" spans="1:8" ht="120" customHeight="1">
      <c r="A11" s="9" t="s">
        <v>784</v>
      </c>
      <c r="B11" s="10" t="s">
        <v>443</v>
      </c>
      <c r="C11" s="10" t="s">
        <v>434</v>
      </c>
      <c r="D11" s="10">
        <v>125</v>
      </c>
      <c r="E11" s="86">
        <v>1100</v>
      </c>
      <c r="F11" s="10" t="s">
        <v>435</v>
      </c>
      <c r="G11" s="88" t="s">
        <v>785</v>
      </c>
      <c r="H11" s="10" t="s">
        <v>786</v>
      </c>
    </row>
    <row r="12" spans="1:8">
      <c r="A12" s="5" t="s">
        <v>445</v>
      </c>
      <c r="B12" s="6" t="s">
        <v>443</v>
      </c>
      <c r="C12" s="6" t="s">
        <v>446</v>
      </c>
      <c r="D12" s="6">
        <v>125</v>
      </c>
      <c r="E12" s="6"/>
      <c r="F12" s="6" t="s">
        <v>447</v>
      </c>
      <c r="G12" s="13" t="s">
        <v>436</v>
      </c>
      <c r="H12" s="6" t="s">
        <v>448</v>
      </c>
    </row>
    <row r="13" spans="1:8">
      <c r="A13" s="9" t="s">
        <v>449</v>
      </c>
      <c r="B13" s="10" t="s">
        <v>450</v>
      </c>
      <c r="C13" s="10" t="s">
        <v>446</v>
      </c>
      <c r="D13" s="10">
        <v>15</v>
      </c>
      <c r="E13" s="10"/>
      <c r="F13" s="10" t="s">
        <v>447</v>
      </c>
      <c r="G13" s="13" t="s">
        <v>436</v>
      </c>
      <c r="H13" s="10" t="s">
        <v>451</v>
      </c>
    </row>
    <row r="14" spans="1:8" ht="16.5" customHeight="1">
      <c r="A14" s="5" t="s">
        <v>452</v>
      </c>
      <c r="B14" s="6" t="s">
        <v>450</v>
      </c>
      <c r="C14" s="6" t="s">
        <v>446</v>
      </c>
      <c r="D14" s="6">
        <v>30</v>
      </c>
      <c r="E14" s="6"/>
      <c r="F14" s="6" t="s">
        <v>447</v>
      </c>
      <c r="G14" s="13" t="s">
        <v>436</v>
      </c>
      <c r="H14" s="6" t="s">
        <v>453</v>
      </c>
    </row>
    <row r="15" spans="1:8" ht="15.75">
      <c r="A15" s="106" t="s">
        <v>454</v>
      </c>
      <c r="B15" s="107"/>
      <c r="C15" s="107"/>
      <c r="D15" s="107"/>
      <c r="E15" s="107"/>
      <c r="F15" s="107"/>
      <c r="G15" s="107"/>
      <c r="H15" s="108"/>
    </row>
    <row r="16" spans="1:8">
      <c r="A16" s="18" t="s">
        <v>455</v>
      </c>
      <c r="B16" s="19" t="s">
        <v>450</v>
      </c>
      <c r="C16" s="19" t="s">
        <v>456</v>
      </c>
      <c r="D16" s="19">
        <v>18</v>
      </c>
      <c r="E16" s="19"/>
      <c r="F16" s="19" t="s">
        <v>456</v>
      </c>
      <c r="G16" s="24" t="s">
        <v>436</v>
      </c>
      <c r="H16" s="19" t="s">
        <v>457</v>
      </c>
    </row>
    <row r="17" spans="1:8">
      <c r="A17" s="9" t="s">
        <v>458</v>
      </c>
      <c r="B17" s="10" t="s">
        <v>450</v>
      </c>
      <c r="C17" s="10" t="s">
        <v>456</v>
      </c>
      <c r="D17" s="10">
        <v>0</v>
      </c>
      <c r="E17" s="10"/>
      <c r="F17" s="10" t="s">
        <v>456</v>
      </c>
      <c r="G17" s="13" t="s">
        <v>436</v>
      </c>
      <c r="H17" s="10" t="s">
        <v>459</v>
      </c>
    </row>
    <row r="18" spans="1:8">
      <c r="A18" s="5" t="s">
        <v>460</v>
      </c>
      <c r="B18" s="6" t="s">
        <v>450</v>
      </c>
      <c r="C18" s="6" t="s">
        <v>456</v>
      </c>
      <c r="D18" s="6">
        <v>0</v>
      </c>
      <c r="E18" s="6"/>
      <c r="F18" s="6" t="s">
        <v>456</v>
      </c>
      <c r="G18" s="13" t="s">
        <v>436</v>
      </c>
      <c r="H18" s="6" t="s">
        <v>461</v>
      </c>
    </row>
    <row r="19" spans="1:8">
      <c r="A19" s="9" t="s">
        <v>462</v>
      </c>
      <c r="B19" s="10" t="s">
        <v>450</v>
      </c>
      <c r="C19" s="10" t="s">
        <v>456</v>
      </c>
      <c r="D19" s="10">
        <v>0</v>
      </c>
      <c r="E19" s="10"/>
      <c r="F19" s="10" t="s">
        <v>456</v>
      </c>
      <c r="G19" s="13" t="s">
        <v>436</v>
      </c>
      <c r="H19" s="10" t="s">
        <v>463</v>
      </c>
    </row>
    <row r="20" spans="1:8">
      <c r="A20" s="5" t="s">
        <v>464</v>
      </c>
      <c r="B20" s="6" t="s">
        <v>450</v>
      </c>
      <c r="C20" s="6" t="s">
        <v>456</v>
      </c>
      <c r="D20" s="6">
        <v>0</v>
      </c>
      <c r="E20" s="6"/>
      <c r="F20" s="6" t="s">
        <v>456</v>
      </c>
      <c r="G20" s="13" t="s">
        <v>436</v>
      </c>
      <c r="H20" s="6" t="s">
        <v>465</v>
      </c>
    </row>
    <row r="21" spans="1:8" ht="15.75" customHeight="1">
      <c r="A21" s="9" t="s">
        <v>466</v>
      </c>
      <c r="B21" s="10" t="s">
        <v>450</v>
      </c>
      <c r="C21" s="10" t="s">
        <v>456</v>
      </c>
      <c r="D21" s="10">
        <v>0</v>
      </c>
      <c r="E21" s="10"/>
      <c r="F21" s="10" t="s">
        <v>456</v>
      </c>
      <c r="G21" s="13" t="s">
        <v>436</v>
      </c>
      <c r="H21" s="10" t="s">
        <v>467</v>
      </c>
    </row>
    <row r="22" spans="1:8" ht="25.5" customHeight="1">
      <c r="A22" s="21" t="s">
        <v>468</v>
      </c>
      <c r="B22" s="22" t="s">
        <v>450</v>
      </c>
      <c r="C22" s="22" t="s">
        <v>456</v>
      </c>
      <c r="D22" s="22">
        <v>0</v>
      </c>
      <c r="E22" s="22"/>
      <c r="F22" s="22" t="s">
        <v>456</v>
      </c>
      <c r="G22" s="16" t="s">
        <v>436</v>
      </c>
      <c r="H22" s="22" t="s">
        <v>469</v>
      </c>
    </row>
    <row r="23" spans="1:8" ht="15.75" customHeight="1">
      <c r="A23" s="106" t="s">
        <v>470</v>
      </c>
      <c r="B23" s="107"/>
      <c r="C23" s="107"/>
      <c r="D23" s="107"/>
      <c r="E23" s="107"/>
      <c r="F23" s="107"/>
      <c r="G23" s="107"/>
      <c r="H23" s="108"/>
    </row>
    <row r="24" spans="1:8" ht="15.75" customHeight="1">
      <c r="A24" s="18" t="s">
        <v>471</v>
      </c>
      <c r="B24" s="19" t="s">
        <v>433</v>
      </c>
      <c r="C24" s="19" t="s">
        <v>472</v>
      </c>
      <c r="D24" s="19">
        <v>0</v>
      </c>
      <c r="E24" s="19"/>
      <c r="F24" s="19" t="s">
        <v>473</v>
      </c>
      <c r="G24" s="24" t="s">
        <v>474</v>
      </c>
      <c r="H24" s="19" t="s">
        <v>475</v>
      </c>
    </row>
    <row r="25" spans="1:8" ht="15.75" customHeight="1">
      <c r="A25" s="9" t="s">
        <v>476</v>
      </c>
      <c r="B25" s="10" t="s">
        <v>433</v>
      </c>
      <c r="C25" s="10" t="s">
        <v>472</v>
      </c>
      <c r="D25" s="10">
        <v>0</v>
      </c>
      <c r="E25" s="10"/>
      <c r="F25" s="10" t="s">
        <v>473</v>
      </c>
      <c r="G25" s="13" t="s">
        <v>474</v>
      </c>
      <c r="H25" s="10" t="s">
        <v>477</v>
      </c>
    </row>
    <row r="26" spans="1:8" ht="25.5" customHeight="1">
      <c r="A26" s="21" t="s">
        <v>478</v>
      </c>
      <c r="B26" s="22" t="s">
        <v>433</v>
      </c>
      <c r="C26" s="22" t="s">
        <v>472</v>
      </c>
      <c r="D26" s="22">
        <v>0</v>
      </c>
      <c r="E26" s="22"/>
      <c r="F26" s="22" t="s">
        <v>479</v>
      </c>
      <c r="G26" s="16" t="s">
        <v>474</v>
      </c>
      <c r="H26" s="22" t="s">
        <v>480</v>
      </c>
    </row>
    <row r="27" spans="1:8" ht="15.75" customHeight="1">
      <c r="A27" s="106" t="s">
        <v>481</v>
      </c>
      <c r="B27" s="107"/>
      <c r="C27" s="107"/>
      <c r="D27" s="107"/>
      <c r="E27" s="107"/>
      <c r="F27" s="107"/>
      <c r="G27" s="107"/>
      <c r="H27" s="108"/>
    </row>
    <row r="28" spans="1:8" ht="15.75" customHeight="1">
      <c r="A28" s="18" t="s">
        <v>482</v>
      </c>
      <c r="B28" s="19" t="s">
        <v>433</v>
      </c>
      <c r="C28" s="19" t="s">
        <v>456</v>
      </c>
      <c r="D28" s="19">
        <v>0</v>
      </c>
      <c r="E28" s="19"/>
      <c r="F28" s="19" t="s">
        <v>456</v>
      </c>
      <c r="G28" s="24" t="s">
        <v>483</v>
      </c>
      <c r="H28" s="19" t="s">
        <v>484</v>
      </c>
    </row>
    <row r="29" spans="1:8" ht="15.75" customHeight="1">
      <c r="A29" s="9" t="s">
        <v>485</v>
      </c>
      <c r="B29" s="10" t="s">
        <v>486</v>
      </c>
      <c r="C29" s="10" t="s">
        <v>456</v>
      </c>
      <c r="D29" s="10">
        <v>0</v>
      </c>
      <c r="E29" s="10"/>
      <c r="F29" s="10" t="s">
        <v>456</v>
      </c>
      <c r="G29" s="13" t="s">
        <v>483</v>
      </c>
      <c r="H29" s="10" t="s">
        <v>487</v>
      </c>
    </row>
    <row r="30" spans="1:8" ht="15.75" customHeight="1">
      <c r="A30" s="5" t="s">
        <v>488</v>
      </c>
      <c r="B30" s="6" t="s">
        <v>443</v>
      </c>
      <c r="C30" s="6" t="s">
        <v>456</v>
      </c>
      <c r="D30" s="6">
        <v>0</v>
      </c>
      <c r="E30" s="6"/>
      <c r="F30" s="6" t="s">
        <v>456</v>
      </c>
      <c r="G30" s="13" t="s">
        <v>483</v>
      </c>
      <c r="H30" s="6" t="s">
        <v>489</v>
      </c>
    </row>
    <row r="31" spans="1:8" ht="25.5" customHeight="1"/>
    <row r="32" spans="1:8" ht="15.75" customHeight="1">
      <c r="A32" s="106" t="s">
        <v>490</v>
      </c>
      <c r="B32" s="107"/>
      <c r="C32" s="107"/>
      <c r="D32" s="107"/>
      <c r="E32" s="107"/>
      <c r="F32" s="107"/>
      <c r="G32" s="107"/>
      <c r="H32" s="108"/>
    </row>
    <row r="33" spans="1:8" ht="15.75" customHeight="1">
      <c r="A33" s="1" t="s">
        <v>491</v>
      </c>
      <c r="B33" s="52">
        <f>SUM(D5:D11)</f>
        <v>1630</v>
      </c>
    </row>
    <row r="34" spans="1:8" ht="15.75" customHeight="1">
      <c r="A34" s="2" t="s">
        <v>492</v>
      </c>
      <c r="B34" s="53">
        <f>SUM(D12:D14)</f>
        <v>170</v>
      </c>
    </row>
    <row r="35" spans="1:8" ht="15.75" customHeight="1">
      <c r="A35" s="1" t="s">
        <v>493</v>
      </c>
      <c r="B35" s="52">
        <f>SUM(D16:D22)</f>
        <v>18</v>
      </c>
    </row>
    <row r="36" spans="1:8" ht="15.75" customHeight="1">
      <c r="A36" s="2" t="s">
        <v>494</v>
      </c>
      <c r="B36" s="53">
        <f>B33+B34+B35*12</f>
        <v>2016</v>
      </c>
    </row>
    <row r="37" spans="1:8" ht="21.95" customHeight="1">
      <c r="A37" s="84" t="s">
        <v>787</v>
      </c>
      <c r="B37" s="85">
        <f>SUM(E5:E30)</f>
        <v>1296</v>
      </c>
    </row>
    <row r="38" spans="1:8" ht="15.75" customHeight="1">
      <c r="A38" t="s">
        <v>788</v>
      </c>
      <c r="B38" s="68">
        <v>1713</v>
      </c>
    </row>
    <row r="39" spans="1:8" ht="15.75" customHeight="1">
      <c r="A39" t="s">
        <v>789</v>
      </c>
      <c r="B39" s="68">
        <f>B36-B38</f>
        <v>303</v>
      </c>
    </row>
    <row r="40" spans="1:8" ht="38.1" customHeight="1">
      <c r="A40" t="s">
        <v>790</v>
      </c>
      <c r="B40" s="119" t="s">
        <v>791</v>
      </c>
      <c r="C40" s="119"/>
      <c r="D40" s="119"/>
      <c r="E40" s="119"/>
      <c r="F40" s="119"/>
      <c r="G40" s="119"/>
      <c r="H40" s="119"/>
    </row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27:H27"/>
    <mergeCell ref="A32:H32"/>
    <mergeCell ref="B40:H40"/>
    <mergeCell ref="A1:H1"/>
    <mergeCell ref="A2:H2"/>
    <mergeCell ref="A4:H4"/>
    <mergeCell ref="A15:H15"/>
    <mergeCell ref="A23:H23"/>
  </mergeCells>
  <conditionalFormatting sqref="G5:G30">
    <cfRule type="containsText" dxfId="34" priority="1" operator="containsText" text="Deferred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6"/>
  <sheetViews>
    <sheetView showGridLines="0" workbookViewId="0"/>
  </sheetViews>
  <sheetFormatPr defaultRowHeight="15"/>
  <sheetData>
    <row r="1" spans="1:5">
      <c r="A1" t="s">
        <v>495</v>
      </c>
    </row>
    <row r="2" spans="1:5">
      <c r="A2" t="s">
        <v>496</v>
      </c>
    </row>
    <row r="4" spans="1:5">
      <c r="A4" t="s">
        <v>497</v>
      </c>
      <c r="D4" t="s">
        <v>498</v>
      </c>
    </row>
    <row r="5" spans="1:5">
      <c r="A5" t="s">
        <v>499</v>
      </c>
      <c r="B5">
        <f>COUNTIF('Master Tracker'!C4:C164,"✅ Done")+COUNTIF('Master Tracker'!C4:C164,"🔄 In Progress")+COUNTIF('Master Tracker'!C4:C164,"📋 Not Started")</f>
        <v>143</v>
      </c>
      <c r="D5" t="s">
        <v>500</v>
      </c>
      <c r="E5">
        <f>COUNTA(Backlog!A2:A30)</f>
        <v>15</v>
      </c>
    </row>
    <row r="6" spans="1:5">
      <c r="A6" t="s">
        <v>9</v>
      </c>
      <c r="B6">
        <f>COUNTIF('Master Tracker'!C4:C164,"✅ Done")</f>
        <v>21</v>
      </c>
      <c r="D6" t="s">
        <v>21</v>
      </c>
      <c r="E6">
        <f>COUNTIF(Backlog!E2:E30,"📋 Not Started")</f>
        <v>12</v>
      </c>
    </row>
    <row r="7" spans="1:5">
      <c r="A7" t="s">
        <v>26</v>
      </c>
      <c r="B7">
        <f>COUNTIF('Master Tracker'!C4:C164,"🔄 In Progress")</f>
        <v>52</v>
      </c>
    </row>
    <row r="8" spans="1:5">
      <c r="A8" t="s">
        <v>21</v>
      </c>
      <c r="B8">
        <f>COUNTIF('Master Tracker'!C4:C164,"📋 Not Started")</f>
        <v>70</v>
      </c>
    </row>
    <row r="9" spans="1:5">
      <c r="A9" t="s">
        <v>501</v>
      </c>
      <c r="B9">
        <f>IF(B5=0,0,B6/B5)</f>
        <v>0.14685314685314685</v>
      </c>
    </row>
    <row r="12" spans="1:5">
      <c r="A12" t="s">
        <v>502</v>
      </c>
      <c r="C12" t="s">
        <v>503</v>
      </c>
    </row>
    <row r="13" spans="1:5">
      <c r="A13" t="s">
        <v>9</v>
      </c>
      <c r="C13" t="s">
        <v>792</v>
      </c>
    </row>
    <row r="14" spans="1:5">
      <c r="A14" t="s">
        <v>26</v>
      </c>
      <c r="C14" t="s">
        <v>504</v>
      </c>
    </row>
    <row r="15" spans="1:5">
      <c r="A15" t="s">
        <v>21</v>
      </c>
      <c r="C15" t="s">
        <v>505</v>
      </c>
    </row>
    <row r="16" spans="1:5">
      <c r="C16" t="s">
        <v>506</v>
      </c>
    </row>
    <row r="17" spans="1:7">
      <c r="C17" t="s">
        <v>507</v>
      </c>
    </row>
    <row r="18" spans="1:7">
      <c r="C18" t="s">
        <v>508</v>
      </c>
    </row>
    <row r="19" spans="1:7">
      <c r="C19" t="s">
        <v>509</v>
      </c>
    </row>
    <row r="20" spans="1:7">
      <c r="C20" t="s">
        <v>793</v>
      </c>
    </row>
    <row r="21" spans="1:7">
      <c r="C21" t="s">
        <v>794</v>
      </c>
    </row>
    <row r="23" spans="1:7">
      <c r="A23" s="96" t="s">
        <v>795</v>
      </c>
      <c r="B23" s="96"/>
      <c r="C23" s="96"/>
      <c r="D23" s="96"/>
      <c r="E23" s="96"/>
      <c r="F23" s="96"/>
      <c r="G23" s="96"/>
    </row>
    <row r="24" spans="1:7">
      <c r="A24" s="120" t="s">
        <v>796</v>
      </c>
      <c r="B24" s="120"/>
      <c r="C24" s="120"/>
      <c r="D24" s="120"/>
      <c r="E24" s="120"/>
      <c r="F24" s="120"/>
      <c r="G24" s="120"/>
    </row>
    <row r="25" spans="1:7">
      <c r="A25" s="121" t="s">
        <v>797</v>
      </c>
      <c r="B25" s="121"/>
      <c r="C25" s="121"/>
      <c r="D25" s="121"/>
      <c r="E25" s="121"/>
      <c r="F25" s="121"/>
      <c r="G25" s="121"/>
    </row>
    <row r="26" spans="1:7">
      <c r="A26" s="121" t="s">
        <v>798</v>
      </c>
      <c r="B26" s="121"/>
      <c r="C26" s="121"/>
      <c r="D26" s="121"/>
      <c r="E26" s="121"/>
      <c r="F26" s="121"/>
      <c r="G26" s="121"/>
    </row>
  </sheetData>
  <mergeCells count="4">
    <mergeCell ref="A23:G23"/>
    <mergeCell ref="A24:G24"/>
    <mergeCell ref="A25:G25"/>
    <mergeCell ref="A26:G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2"/>
  <sheetViews>
    <sheetView showGridLines="0" workbookViewId="0">
      <selection sqref="A1:H1"/>
    </sheetView>
  </sheetViews>
  <sheetFormatPr defaultRowHeight="15"/>
  <cols>
    <col min="1" max="1" width="12" customWidth="1"/>
    <col min="2" max="2" width="39" customWidth="1"/>
    <col min="3" max="8" width="24" customWidth="1"/>
  </cols>
  <sheetData>
    <row r="1" spans="1:8" ht="32.1" customHeight="1">
      <c r="A1" s="94" t="s">
        <v>799</v>
      </c>
      <c r="B1" s="94"/>
      <c r="C1" s="94"/>
      <c r="D1" s="94"/>
      <c r="E1" s="94"/>
      <c r="F1" s="94"/>
      <c r="G1" s="94"/>
      <c r="H1" s="94"/>
    </row>
    <row r="2" spans="1:8" ht="24" customHeight="1">
      <c r="A2" s="95" t="s">
        <v>800</v>
      </c>
      <c r="B2" s="95"/>
      <c r="C2" s="95"/>
      <c r="D2" s="95"/>
      <c r="E2" s="95"/>
      <c r="F2" s="95"/>
      <c r="G2" s="95"/>
      <c r="H2" s="95"/>
    </row>
    <row r="4" spans="1:8" ht="33.950000000000003" customHeight="1">
      <c r="A4" s="59" t="s">
        <v>801</v>
      </c>
      <c r="B4" s="59" t="s">
        <v>802</v>
      </c>
      <c r="C4" s="59" t="s">
        <v>519</v>
      </c>
      <c r="D4" s="59" t="s">
        <v>537</v>
      </c>
      <c r="E4" s="59" t="s">
        <v>333</v>
      </c>
      <c r="F4" s="59" t="s">
        <v>803</v>
      </c>
      <c r="G4" s="59" t="s">
        <v>804</v>
      </c>
      <c r="H4" s="59" t="s">
        <v>536</v>
      </c>
    </row>
    <row r="5" spans="1:8">
      <c r="A5" s="60" t="s">
        <v>805</v>
      </c>
      <c r="B5" s="60" t="s">
        <v>806</v>
      </c>
      <c r="C5" s="60" t="s">
        <v>532</v>
      </c>
      <c r="D5" s="60" t="s">
        <v>807</v>
      </c>
      <c r="E5" s="60" t="s">
        <v>698</v>
      </c>
      <c r="F5" s="60" t="s">
        <v>808</v>
      </c>
      <c r="G5" s="60" t="s">
        <v>809</v>
      </c>
      <c r="H5" s="60" t="s">
        <v>532</v>
      </c>
    </row>
    <row r="6" spans="1:8">
      <c r="A6" s="62" t="s">
        <v>810</v>
      </c>
      <c r="B6" s="62" t="s">
        <v>811</v>
      </c>
      <c r="C6" s="62" t="s">
        <v>812</v>
      </c>
      <c r="D6" s="62" t="s">
        <v>813</v>
      </c>
      <c r="E6" s="62" t="s">
        <v>368</v>
      </c>
      <c r="F6" s="62" t="s">
        <v>814</v>
      </c>
      <c r="G6" s="62" t="s">
        <v>815</v>
      </c>
      <c r="H6" s="62" t="s">
        <v>816</v>
      </c>
    </row>
    <row r="7" spans="1:8">
      <c r="A7" s="62" t="s">
        <v>817</v>
      </c>
      <c r="B7" s="62" t="s">
        <v>818</v>
      </c>
      <c r="C7" s="62" t="s">
        <v>529</v>
      </c>
      <c r="D7" s="62" t="s">
        <v>819</v>
      </c>
      <c r="E7" s="62" t="s">
        <v>338</v>
      </c>
      <c r="F7" s="62" t="s">
        <v>820</v>
      </c>
      <c r="G7" s="62" t="s">
        <v>821</v>
      </c>
      <c r="H7" s="62" t="s">
        <v>822</v>
      </c>
    </row>
    <row r="8" spans="1:8">
      <c r="A8" s="62" t="s">
        <v>823</v>
      </c>
      <c r="B8" s="62" t="s">
        <v>824</v>
      </c>
      <c r="C8" s="62" t="s">
        <v>530</v>
      </c>
      <c r="D8" s="62" t="s">
        <v>825</v>
      </c>
      <c r="E8" s="62" t="s">
        <v>350</v>
      </c>
      <c r="F8" s="62" t="s">
        <v>826</v>
      </c>
      <c r="G8" s="62" t="s">
        <v>827</v>
      </c>
      <c r="H8" s="62" t="s">
        <v>828</v>
      </c>
    </row>
    <row r="9" spans="1:8">
      <c r="A9" s="62" t="s">
        <v>829</v>
      </c>
      <c r="B9" s="62" t="s">
        <v>830</v>
      </c>
      <c r="C9" s="62" t="s">
        <v>531</v>
      </c>
      <c r="D9" s="62" t="s">
        <v>831</v>
      </c>
      <c r="E9" s="62"/>
      <c r="F9" s="62" t="s">
        <v>832</v>
      </c>
      <c r="G9" s="62" t="s">
        <v>833</v>
      </c>
      <c r="H9" s="62" t="s">
        <v>531</v>
      </c>
    </row>
    <row r="10" spans="1:8">
      <c r="A10" s="62" t="s">
        <v>834</v>
      </c>
      <c r="B10" s="62" t="s">
        <v>835</v>
      </c>
      <c r="C10" s="62" t="s">
        <v>528</v>
      </c>
      <c r="D10" s="62" t="s">
        <v>836</v>
      </c>
      <c r="E10" s="62"/>
      <c r="F10" s="62"/>
      <c r="G10" s="62" t="s">
        <v>837</v>
      </c>
      <c r="H10" s="92" t="s">
        <v>483</v>
      </c>
    </row>
    <row r="11" spans="1:8">
      <c r="A11" s="62" t="s">
        <v>838</v>
      </c>
      <c r="B11" s="62" t="s">
        <v>839</v>
      </c>
      <c r="C11" s="92" t="s">
        <v>483</v>
      </c>
      <c r="D11" s="62"/>
      <c r="E11" s="62"/>
      <c r="F11" s="62"/>
      <c r="G11" s="62" t="s">
        <v>840</v>
      </c>
      <c r="H11" s="62"/>
    </row>
    <row r="12" spans="1:8">
      <c r="A12" s="62" t="s">
        <v>841</v>
      </c>
      <c r="B12" s="62" t="s">
        <v>842</v>
      </c>
      <c r="C12" s="62"/>
      <c r="D12" s="62"/>
      <c r="E12" s="62"/>
      <c r="F12" s="62"/>
      <c r="G12" s="62"/>
      <c r="H12" s="62"/>
    </row>
    <row r="13" spans="1:8">
      <c r="A13" s="62" t="s">
        <v>843</v>
      </c>
      <c r="B13" s="62" t="s">
        <v>844</v>
      </c>
      <c r="C13" s="62"/>
      <c r="D13" s="62"/>
      <c r="E13" s="62"/>
      <c r="F13" s="62"/>
      <c r="G13" s="62"/>
      <c r="H13" s="62"/>
    </row>
    <row r="14" spans="1:8">
      <c r="A14" s="62" t="s">
        <v>845</v>
      </c>
      <c r="B14" s="62" t="s">
        <v>846</v>
      </c>
      <c r="C14" s="62"/>
      <c r="D14" s="62"/>
      <c r="E14" s="62"/>
      <c r="F14" s="62"/>
      <c r="G14" s="62"/>
      <c r="H14" s="62"/>
    </row>
    <row r="15" spans="1:8">
      <c r="A15" s="62" t="s">
        <v>847</v>
      </c>
      <c r="B15" s="62" t="s">
        <v>848</v>
      </c>
      <c r="C15" s="62"/>
      <c r="D15" s="62"/>
      <c r="E15" s="62"/>
      <c r="F15" s="62"/>
      <c r="G15" s="62"/>
      <c r="H15" s="62"/>
    </row>
    <row r="16" spans="1:8">
      <c r="A16" s="62" t="s">
        <v>849</v>
      </c>
      <c r="B16" s="62" t="s">
        <v>850</v>
      </c>
      <c r="C16" s="62"/>
      <c r="D16" s="62"/>
      <c r="E16" s="62"/>
      <c r="F16" s="62"/>
      <c r="G16" s="62"/>
      <c r="H16" s="62"/>
    </row>
    <row r="17" spans="1:8">
      <c r="A17" s="62" t="s">
        <v>851</v>
      </c>
      <c r="B17" s="62" t="s">
        <v>852</v>
      </c>
      <c r="C17" s="62"/>
      <c r="D17" s="62"/>
      <c r="E17" s="62"/>
      <c r="F17" s="62"/>
      <c r="G17" s="62"/>
      <c r="H17" s="62"/>
    </row>
    <row r="18" spans="1:8">
      <c r="A18" s="62" t="s">
        <v>853</v>
      </c>
      <c r="B18" s="62" t="s">
        <v>854</v>
      </c>
      <c r="C18" s="62"/>
      <c r="D18" s="62"/>
      <c r="E18" s="62"/>
      <c r="F18" s="62"/>
      <c r="G18" s="62"/>
      <c r="H18" s="62"/>
    </row>
    <row r="19" spans="1:8">
      <c r="A19" s="62" t="s">
        <v>855</v>
      </c>
      <c r="B19" s="62" t="s">
        <v>856</v>
      </c>
      <c r="C19" s="62"/>
      <c r="D19" s="62"/>
      <c r="E19" s="62"/>
      <c r="F19" s="62"/>
      <c r="G19" s="62"/>
      <c r="H19" s="62"/>
    </row>
    <row r="20" spans="1:8">
      <c r="A20" s="62" t="s">
        <v>857</v>
      </c>
      <c r="B20" s="62" t="s">
        <v>561</v>
      </c>
      <c r="C20" s="62"/>
      <c r="D20" s="62"/>
      <c r="E20" s="62"/>
      <c r="F20" s="62"/>
      <c r="G20" s="62"/>
      <c r="H20" s="62"/>
    </row>
    <row r="21" spans="1:8">
      <c r="A21" s="62"/>
      <c r="B21" s="62"/>
      <c r="C21" s="62"/>
      <c r="D21" s="62"/>
      <c r="E21" s="62"/>
      <c r="F21" s="62"/>
      <c r="G21" s="62"/>
      <c r="H21" s="62"/>
    </row>
    <row r="22" spans="1:8">
      <c r="A22" s="62"/>
      <c r="B22" s="62"/>
      <c r="C22" s="62"/>
      <c r="D22" s="62"/>
      <c r="E22" s="62"/>
      <c r="F22" s="62"/>
      <c r="G22" s="62"/>
      <c r="H22" s="62"/>
    </row>
    <row r="23" spans="1:8">
      <c r="A23" s="62"/>
      <c r="B23" s="62"/>
      <c r="C23" s="62"/>
      <c r="D23" s="62"/>
      <c r="E23" s="62"/>
      <c r="F23" s="62"/>
      <c r="G23" s="62"/>
      <c r="H23" s="62"/>
    </row>
    <row r="24" spans="1:8">
      <c r="A24" s="62"/>
      <c r="B24" s="62"/>
      <c r="C24" s="62"/>
      <c r="D24" s="62"/>
      <c r="E24" s="62"/>
      <c r="F24" s="62"/>
      <c r="G24" s="62"/>
      <c r="H24" s="62"/>
    </row>
    <row r="25" spans="1:8">
      <c r="A25" s="122" t="s">
        <v>858</v>
      </c>
      <c r="B25" s="122"/>
      <c r="C25" s="122"/>
      <c r="D25" s="122"/>
      <c r="E25" s="122"/>
      <c r="F25" s="122"/>
      <c r="G25" s="122"/>
      <c r="H25" s="122"/>
    </row>
    <row r="26" spans="1:8" ht="44.1" customHeight="1">
      <c r="A26" s="62" t="s">
        <v>532</v>
      </c>
      <c r="B26" s="62" t="s">
        <v>859</v>
      </c>
      <c r="C26" s="62"/>
      <c r="D26" s="62" t="s">
        <v>807</v>
      </c>
      <c r="E26" s="62" t="s">
        <v>860</v>
      </c>
      <c r="F26" s="62"/>
      <c r="G26" s="62" t="s">
        <v>570</v>
      </c>
      <c r="H26" s="62" t="s">
        <v>861</v>
      </c>
    </row>
    <row r="27" spans="1:8" ht="44.1" customHeight="1">
      <c r="A27" s="62" t="s">
        <v>812</v>
      </c>
      <c r="B27" s="62" t="s">
        <v>862</v>
      </c>
      <c r="C27" s="62"/>
      <c r="D27" s="62" t="s">
        <v>813</v>
      </c>
      <c r="E27" s="62" t="s">
        <v>863</v>
      </c>
      <c r="F27" s="62"/>
      <c r="G27" s="62" t="s">
        <v>864</v>
      </c>
      <c r="H27" s="62" t="s">
        <v>865</v>
      </c>
    </row>
    <row r="28" spans="1:8" ht="44.1" customHeight="1">
      <c r="A28" s="62" t="s">
        <v>529</v>
      </c>
      <c r="B28" s="62" t="s">
        <v>866</v>
      </c>
      <c r="C28" s="62"/>
      <c r="D28" s="62" t="s">
        <v>819</v>
      </c>
      <c r="E28" s="62" t="s">
        <v>867</v>
      </c>
      <c r="F28" s="62"/>
      <c r="G28" s="62" t="s">
        <v>553</v>
      </c>
      <c r="H28" s="62" t="s">
        <v>868</v>
      </c>
    </row>
    <row r="29" spans="1:8" ht="44.1" customHeight="1">
      <c r="A29" s="62" t="s">
        <v>530</v>
      </c>
      <c r="B29" s="62" t="s">
        <v>869</v>
      </c>
      <c r="C29" s="62"/>
      <c r="D29" s="62" t="s">
        <v>825</v>
      </c>
      <c r="E29" s="62" t="s">
        <v>870</v>
      </c>
      <c r="F29" s="62"/>
      <c r="G29" s="62" t="s">
        <v>555</v>
      </c>
      <c r="H29" s="62" t="s">
        <v>871</v>
      </c>
    </row>
    <row r="30" spans="1:8" ht="44.1" customHeight="1">
      <c r="A30" s="62" t="s">
        <v>531</v>
      </c>
      <c r="B30" s="62" t="s">
        <v>872</v>
      </c>
      <c r="C30" s="62"/>
      <c r="D30" s="62" t="s">
        <v>831</v>
      </c>
      <c r="E30" s="62" t="s">
        <v>873</v>
      </c>
      <c r="F30" s="62"/>
      <c r="G30" s="62" t="s">
        <v>563</v>
      </c>
      <c r="H30" s="62" t="s">
        <v>874</v>
      </c>
    </row>
    <row r="31" spans="1:8" ht="44.1" customHeight="1">
      <c r="A31" s="62" t="s">
        <v>528</v>
      </c>
      <c r="B31" s="62" t="s">
        <v>875</v>
      </c>
      <c r="C31" s="62"/>
      <c r="D31" s="62" t="s">
        <v>836</v>
      </c>
      <c r="E31" s="62" t="s">
        <v>876</v>
      </c>
      <c r="F31" s="62"/>
      <c r="G31" s="62" t="s">
        <v>565</v>
      </c>
      <c r="H31" s="62" t="s">
        <v>877</v>
      </c>
    </row>
    <row r="32" spans="1:8" ht="44.1" customHeight="1">
      <c r="A32" s="92" t="s">
        <v>483</v>
      </c>
      <c r="B32" s="62" t="s">
        <v>878</v>
      </c>
      <c r="C32" s="62"/>
      <c r="D32" s="62"/>
      <c r="E32" s="62"/>
      <c r="F32" s="62"/>
      <c r="G32" s="62"/>
      <c r="H32" s="62"/>
    </row>
  </sheetData>
  <mergeCells count="3">
    <mergeCell ref="A1:H1"/>
    <mergeCell ref="A2:H2"/>
    <mergeCell ref="A25:H2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9"/>
  <sheetViews>
    <sheetView showGridLines="0" workbookViewId="0">
      <selection sqref="A1:P1"/>
    </sheetView>
  </sheetViews>
  <sheetFormatPr defaultRowHeight="15"/>
  <cols>
    <col min="1" max="1" width="9" customWidth="1"/>
    <col min="2" max="2" width="34" customWidth="1"/>
    <col min="3" max="4" width="19" customWidth="1"/>
    <col min="5" max="11" width="12" customWidth="1"/>
    <col min="12" max="14" width="48" customWidth="1"/>
    <col min="15" max="15" width="40" customWidth="1"/>
    <col min="16" max="16" width="13" customWidth="1"/>
  </cols>
  <sheetData>
    <row r="1" spans="1:16" ht="32.1" customHeight="1">
      <c r="A1" s="94" t="s">
        <v>879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pans="1:16" ht="24" customHeight="1">
      <c r="A2" s="95" t="s">
        <v>880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</row>
    <row r="3" spans="1:16" ht="33.950000000000003" customHeight="1">
      <c r="A3" s="59" t="s">
        <v>801</v>
      </c>
      <c r="B3" s="59" t="s">
        <v>881</v>
      </c>
      <c r="C3" s="59" t="s">
        <v>536</v>
      </c>
      <c r="D3" s="59" t="s">
        <v>537</v>
      </c>
      <c r="E3" s="59" t="s">
        <v>538</v>
      </c>
      <c r="F3" s="59" t="s">
        <v>539</v>
      </c>
      <c r="G3" s="59" t="s">
        <v>540</v>
      </c>
      <c r="H3" s="59" t="s">
        <v>529</v>
      </c>
      <c r="I3" s="59" t="s">
        <v>530</v>
      </c>
      <c r="J3" s="59" t="s">
        <v>531</v>
      </c>
      <c r="K3" s="59" t="s">
        <v>532</v>
      </c>
      <c r="L3" s="59" t="s">
        <v>882</v>
      </c>
      <c r="M3" s="59" t="s">
        <v>883</v>
      </c>
      <c r="N3" s="59" t="s">
        <v>884</v>
      </c>
      <c r="O3" s="59" t="s">
        <v>523</v>
      </c>
      <c r="P3" s="59" t="s">
        <v>885</v>
      </c>
    </row>
    <row r="4" spans="1:16" ht="57.95" customHeight="1">
      <c r="A4" s="60" t="s">
        <v>805</v>
      </c>
      <c r="B4" s="60" t="s">
        <v>806</v>
      </c>
      <c r="C4" s="60" t="s">
        <v>816</v>
      </c>
      <c r="D4" s="60" t="s">
        <v>825</v>
      </c>
      <c r="E4" s="60">
        <f>COUNTIFS('Delivery Tracker'!$B$4:$B$400,$A4,'Delivery Tracker'!$H$4:$H$400,"Done")</f>
        <v>6</v>
      </c>
      <c r="F4" s="60">
        <f>COUNTIF('Delivery Tracker'!$B$4:$B$400,$A4)</f>
        <v>6</v>
      </c>
      <c r="G4" s="64">
        <f t="shared" ref="G4:G19" si="0">IF(F4=0,0,E4/F4)</f>
        <v>1</v>
      </c>
      <c r="H4" s="60">
        <f>COUNTIFS('Delivery Tracker'!$B$4:$B$400,$A4,'Delivery Tracker'!$H$4:$H$400,"In Progress")</f>
        <v>0</v>
      </c>
      <c r="I4" s="60">
        <f>COUNTIFS('Delivery Tracker'!$B$4:$B$400,$A4,'Delivery Tracker'!$H$4:$H$400,"In Review")</f>
        <v>0</v>
      </c>
      <c r="J4" s="60">
        <f>COUNTIFS('Delivery Tracker'!$B$4:$B$400,$A4,'Delivery Tracker'!$H$4:$H$400,"Blocked")</f>
        <v>0</v>
      </c>
      <c r="K4" s="60">
        <f>COUNTIFS('Delivery Tracker'!$B$4:$B$400,$A4,'Delivery Tracker'!$H$4:$H$400,"Not Started")</f>
        <v>0</v>
      </c>
      <c r="L4" s="60" t="s">
        <v>886</v>
      </c>
      <c r="M4" s="60" t="s">
        <v>887</v>
      </c>
      <c r="N4" s="60" t="s">
        <v>888</v>
      </c>
      <c r="O4" s="60" t="s">
        <v>889</v>
      </c>
      <c r="P4" s="61">
        <v>46255.666666666664</v>
      </c>
    </row>
    <row r="5" spans="1:16" ht="57.95" customHeight="1">
      <c r="A5" s="62" t="s">
        <v>810</v>
      </c>
      <c r="B5" s="62" t="s">
        <v>811</v>
      </c>
      <c r="C5" s="62" t="s">
        <v>828</v>
      </c>
      <c r="D5" s="62" t="s">
        <v>825</v>
      </c>
      <c r="E5" s="62">
        <f>COUNTIFS('Delivery Tracker'!$B$4:$B$400,$A5,'Delivery Tracker'!$H$4:$H$400,"Done")</f>
        <v>4</v>
      </c>
      <c r="F5" s="62">
        <f>COUNTIF('Delivery Tracker'!$B$4:$B$400,$A5)</f>
        <v>8</v>
      </c>
      <c r="G5" s="65">
        <f t="shared" si="0"/>
        <v>0.5</v>
      </c>
      <c r="H5" s="62">
        <f>COUNTIFS('Delivery Tracker'!$B$4:$B$400,$A5,'Delivery Tracker'!$H$4:$H$400,"In Progress")</f>
        <v>4</v>
      </c>
      <c r="I5" s="62">
        <f>COUNTIFS('Delivery Tracker'!$B$4:$B$400,$A5,'Delivery Tracker'!$H$4:$H$400,"In Review")</f>
        <v>0</v>
      </c>
      <c r="J5" s="62">
        <f>COUNTIFS('Delivery Tracker'!$B$4:$B$400,$A5,'Delivery Tracker'!$H$4:$H$400,"Blocked")</f>
        <v>0</v>
      </c>
      <c r="K5" s="62">
        <f>COUNTIFS('Delivery Tracker'!$B$4:$B$400,$A5,'Delivery Tracker'!$H$4:$H$400,"Not Started")</f>
        <v>0</v>
      </c>
      <c r="L5" s="62" t="s">
        <v>890</v>
      </c>
      <c r="M5" s="62" t="s">
        <v>891</v>
      </c>
      <c r="N5" s="62" t="s">
        <v>892</v>
      </c>
      <c r="O5" s="62" t="s">
        <v>893</v>
      </c>
      <c r="P5" s="63">
        <v>46255.666666666664</v>
      </c>
    </row>
    <row r="6" spans="1:16" ht="57.95" customHeight="1">
      <c r="A6" s="62" t="s">
        <v>817</v>
      </c>
      <c r="B6" s="62" t="s">
        <v>818</v>
      </c>
      <c r="C6" s="62" t="s">
        <v>816</v>
      </c>
      <c r="D6" s="62" t="s">
        <v>819</v>
      </c>
      <c r="E6" s="62">
        <f>COUNTIFS('Delivery Tracker'!$B$4:$B$400,$A6,'Delivery Tracker'!$H$4:$H$400,"Done")</f>
        <v>4</v>
      </c>
      <c r="F6" s="62">
        <f>COUNTIF('Delivery Tracker'!$B$4:$B$400,$A6)</f>
        <v>16</v>
      </c>
      <c r="G6" s="65">
        <f t="shared" si="0"/>
        <v>0.25</v>
      </c>
      <c r="H6" s="62">
        <f>COUNTIFS('Delivery Tracker'!$B$4:$B$400,$A6,'Delivery Tracker'!$H$4:$H$400,"In Progress")</f>
        <v>7</v>
      </c>
      <c r="I6" s="62">
        <f>COUNTIFS('Delivery Tracker'!$B$4:$B$400,$A6,'Delivery Tracker'!$H$4:$H$400,"In Review")</f>
        <v>0</v>
      </c>
      <c r="J6" s="62">
        <f>COUNTIFS('Delivery Tracker'!$B$4:$B$400,$A6,'Delivery Tracker'!$H$4:$H$400,"Blocked")</f>
        <v>0</v>
      </c>
      <c r="K6" s="62">
        <f>COUNTIFS('Delivery Tracker'!$B$4:$B$400,$A6,'Delivery Tracker'!$H$4:$H$400,"Not Started")</f>
        <v>5</v>
      </c>
      <c r="L6" s="62" t="s">
        <v>894</v>
      </c>
      <c r="M6" s="62" t="s">
        <v>895</v>
      </c>
      <c r="N6" s="62" t="s">
        <v>896</v>
      </c>
      <c r="O6" s="62" t="s">
        <v>889</v>
      </c>
      <c r="P6" s="63">
        <v>46255.666666666664</v>
      </c>
    </row>
    <row r="7" spans="1:16" ht="57.95" customHeight="1">
      <c r="A7" s="62" t="s">
        <v>823</v>
      </c>
      <c r="B7" s="62" t="s">
        <v>824</v>
      </c>
      <c r="C7" s="62" t="s">
        <v>828</v>
      </c>
      <c r="D7" s="62" t="s">
        <v>825</v>
      </c>
      <c r="E7" s="62">
        <f>COUNTIFS('Delivery Tracker'!$B$4:$B$400,$A7,'Delivery Tracker'!$H$4:$H$400,"Done")</f>
        <v>6</v>
      </c>
      <c r="F7" s="62">
        <f>COUNTIF('Delivery Tracker'!$B$4:$B$400,$A7)</f>
        <v>8</v>
      </c>
      <c r="G7" s="65">
        <f t="shared" si="0"/>
        <v>0.75</v>
      </c>
      <c r="H7" s="62">
        <f>COUNTIFS('Delivery Tracker'!$B$4:$B$400,$A7,'Delivery Tracker'!$H$4:$H$400,"In Progress")</f>
        <v>2</v>
      </c>
      <c r="I7" s="62">
        <f>COUNTIFS('Delivery Tracker'!$B$4:$B$400,$A7,'Delivery Tracker'!$H$4:$H$400,"In Review")</f>
        <v>0</v>
      </c>
      <c r="J7" s="62">
        <f>COUNTIFS('Delivery Tracker'!$B$4:$B$400,$A7,'Delivery Tracker'!$H$4:$H$400,"Blocked")</f>
        <v>0</v>
      </c>
      <c r="K7" s="62">
        <f>COUNTIFS('Delivery Tracker'!$B$4:$B$400,$A7,'Delivery Tracker'!$H$4:$H$400,"Not Started")</f>
        <v>0</v>
      </c>
      <c r="L7" s="62" t="s">
        <v>897</v>
      </c>
      <c r="M7" s="62" t="s">
        <v>898</v>
      </c>
      <c r="N7" s="62" t="s">
        <v>899</v>
      </c>
      <c r="O7" s="62" t="s">
        <v>900</v>
      </c>
      <c r="P7" s="63">
        <v>46255.666666666664</v>
      </c>
    </row>
    <row r="8" spans="1:16" ht="57.95" customHeight="1">
      <c r="A8" s="62" t="s">
        <v>829</v>
      </c>
      <c r="B8" s="62" t="s">
        <v>830</v>
      </c>
      <c r="C8" s="62" t="s">
        <v>816</v>
      </c>
      <c r="D8" s="62" t="s">
        <v>819</v>
      </c>
      <c r="E8" s="62">
        <f>COUNTIFS('Delivery Tracker'!$B$4:$B$400,$A8,'Delivery Tracker'!$H$4:$H$400,"Done")</f>
        <v>6</v>
      </c>
      <c r="F8" s="62">
        <f>COUNTIF('Delivery Tracker'!$B$4:$B$400,$A8)</f>
        <v>35</v>
      </c>
      <c r="G8" s="65">
        <f t="shared" si="0"/>
        <v>0.17142857142857143</v>
      </c>
      <c r="H8" s="62">
        <f>COUNTIFS('Delivery Tracker'!$B$4:$B$400,$A8,'Delivery Tracker'!$H$4:$H$400,"In Progress")</f>
        <v>17</v>
      </c>
      <c r="I8" s="62">
        <f>COUNTIFS('Delivery Tracker'!$B$4:$B$400,$A8,'Delivery Tracker'!$H$4:$H$400,"In Review")</f>
        <v>0</v>
      </c>
      <c r="J8" s="62">
        <f>COUNTIFS('Delivery Tracker'!$B$4:$B$400,$A8,'Delivery Tracker'!$H$4:$H$400,"Blocked")</f>
        <v>0</v>
      </c>
      <c r="K8" s="62">
        <f>COUNTIFS('Delivery Tracker'!$B$4:$B$400,$A8,'Delivery Tracker'!$H$4:$H$400,"Not Started")</f>
        <v>12</v>
      </c>
      <c r="L8" t="str" s="62">
        <v>Slices 1-4 published; operations dormant. Founder confirms Maryland approval and EIN receipt Sept 16. Legal review and business/provider dependencies remain open.</v>
      </c>
      <c r="M8" s="62" t="s">
        <v>902</v>
      </c>
      <c r="N8" s="62" t="s">
        <v>903</v>
      </c>
      <c r="O8" s="62" t="s">
        <v>904</v>
      </c>
      <c r="P8" t="n" s="63">
        <v>46281</v>
      </c>
    </row>
    <row r="9" spans="1:16" ht="57.95" customHeight="1">
      <c r="A9" s="62" t="s">
        <v>834</v>
      </c>
      <c r="B9" s="62" t="s">
        <v>835</v>
      </c>
      <c r="C9" s="62" t="s">
        <v>816</v>
      </c>
      <c r="D9" s="62" t="s">
        <v>819</v>
      </c>
      <c r="E9" s="62">
        <f>COUNTIFS('Delivery Tracker'!$B$4:$B$400,$A9,'Delivery Tracker'!$H$4:$H$400,"Done")</f>
        <v>1</v>
      </c>
      <c r="F9" s="62">
        <f>COUNTIF('Delivery Tracker'!$B$4:$B$400,$A9)</f>
        <v>10</v>
      </c>
      <c r="G9" s="65">
        <f t="shared" si="0"/>
        <v>0.1</v>
      </c>
      <c r="H9" s="62">
        <f>COUNTIFS('Delivery Tracker'!$B$4:$B$400,$A9,'Delivery Tracker'!$H$4:$H$400,"In Progress")</f>
        <v>4</v>
      </c>
      <c r="I9" s="62">
        <f>COUNTIFS('Delivery Tracker'!$B$4:$B$400,$A9,'Delivery Tracker'!$H$4:$H$400,"In Review")</f>
        <v>2</v>
      </c>
      <c r="J9" s="62">
        <f>COUNTIFS('Delivery Tracker'!$B$4:$B$400,$A9,'Delivery Tracker'!$H$4:$H$400,"Blocked")</f>
        <v>0</v>
      </c>
      <c r="K9" s="62">
        <f>COUNTIFS('Delivery Tracker'!$B$4:$B$400,$A9,'Delivery Tracker'!$H$4:$H$400,"Not Started")</f>
        <v>3</v>
      </c>
      <c r="L9" s="62" t="s">
        <v>905</v>
      </c>
      <c r="M9" s="62" t="s">
        <v>906</v>
      </c>
      <c r="N9" s="62" t="s">
        <v>907</v>
      </c>
      <c r="O9" s="62" t="s">
        <v>908</v>
      </c>
      <c r="P9" s="63">
        <v>46274.666666666664</v>
      </c>
    </row>
    <row r="10" spans="1:16" ht="57.95" customHeight="1">
      <c r="A10" s="62" t="s">
        <v>838</v>
      </c>
      <c r="B10" s="62" t="s">
        <v>839</v>
      </c>
      <c r="C10" s="62" t="s">
        <v>816</v>
      </c>
      <c r="D10" s="62" t="s">
        <v>813</v>
      </c>
      <c r="E10" s="62">
        <f>COUNTIFS('Delivery Tracker'!$B$4:$B$400,$A10,'Delivery Tracker'!$H$4:$H$400,"Done")</f>
        <v>0</v>
      </c>
      <c r="F10" s="62">
        <f>COUNTIF('Delivery Tracker'!$B$4:$B$400,$A10)</f>
        <v>16</v>
      </c>
      <c r="G10" s="65">
        <f t="shared" si="0"/>
        <v>0</v>
      </c>
      <c r="H10" s="62">
        <f>COUNTIFS('Delivery Tracker'!$B$4:$B$400,$A10,'Delivery Tracker'!$H$4:$H$400,"In Progress")</f>
        <v>3</v>
      </c>
      <c r="I10" s="62">
        <f>COUNTIFS('Delivery Tracker'!$B$4:$B$400,$A10,'Delivery Tracker'!$H$4:$H$400,"In Review")</f>
        <v>0</v>
      </c>
      <c r="J10" s="62">
        <f>COUNTIFS('Delivery Tracker'!$B$4:$B$400,$A10,'Delivery Tracker'!$H$4:$H$400,"Blocked")</f>
        <v>0</v>
      </c>
      <c r="K10" s="62">
        <f>COUNTIFS('Delivery Tracker'!$B$4:$B$400,$A10,'Delivery Tracker'!$H$4:$H$400,"Not Started")</f>
        <v>13</v>
      </c>
      <c r="L10" s="62" t="s">
        <v>909</v>
      </c>
      <c r="M10" s="62" t="s">
        <v>910</v>
      </c>
      <c r="N10" s="62" t="s">
        <v>911</v>
      </c>
      <c r="O10" s="62" t="s">
        <v>524</v>
      </c>
      <c r="P10" s="63">
        <v>46275.666666666664</v>
      </c>
    </row>
    <row r="11" spans="1:16" ht="57.95" customHeight="1">
      <c r="A11" s="62" t="s">
        <v>841</v>
      </c>
      <c r="B11" s="62" t="s">
        <v>842</v>
      </c>
      <c r="C11" s="62" t="s">
        <v>531</v>
      </c>
      <c r="D11" s="62" t="s">
        <v>836</v>
      </c>
      <c r="E11" s="62">
        <f>COUNTIFS('Delivery Tracker'!$B$4:$B$400,$A11,'Delivery Tracker'!$H$4:$H$400,"Done")</f>
        <v>0</v>
      </c>
      <c r="F11" s="62">
        <f>COUNTIF('Delivery Tracker'!$B$4:$B$400,$A11)</f>
        <v>1</v>
      </c>
      <c r="G11" s="65">
        <f t="shared" si="0"/>
        <v>0</v>
      </c>
      <c r="H11" s="62">
        <f>COUNTIFS('Delivery Tracker'!$B$4:$B$400,$A11,'Delivery Tracker'!$H$4:$H$400,"In Progress")</f>
        <v>0</v>
      </c>
      <c r="I11" s="62">
        <f>COUNTIFS('Delivery Tracker'!$B$4:$B$400,$A11,'Delivery Tracker'!$H$4:$H$400,"In Review")</f>
        <v>0</v>
      </c>
      <c r="J11" s="62">
        <f>COUNTIFS('Delivery Tracker'!$B$4:$B$400,$A11,'Delivery Tracker'!$H$4:$H$400,"Blocked")</f>
        <v>1</v>
      </c>
      <c r="K11" s="62">
        <f>COUNTIFS('Delivery Tracker'!$B$4:$B$400,$A11,'Delivery Tracker'!$H$4:$H$400,"Not Started")</f>
        <v>0</v>
      </c>
      <c r="L11" s="62" t="s">
        <v>912</v>
      </c>
      <c r="M11" s="62" t="s">
        <v>913</v>
      </c>
      <c r="N11" s="62" t="s">
        <v>914</v>
      </c>
      <c r="O11" s="62" t="s">
        <v>915</v>
      </c>
      <c r="P11" s="63">
        <v>46274.666666666664</v>
      </c>
    </row>
    <row r="12" spans="1:16" ht="57.95" customHeight="1">
      <c r="A12" s="62" t="s">
        <v>843</v>
      </c>
      <c r="B12" s="62" t="s">
        <v>844</v>
      </c>
      <c r="C12" s="62" t="s">
        <v>816</v>
      </c>
      <c r="D12" s="62" t="s">
        <v>813</v>
      </c>
      <c r="E12" s="62">
        <f>COUNTIFS('Delivery Tracker'!$B$4:$B$400,$A12,'Delivery Tracker'!$H$4:$H$400,"Done")</f>
        <v>4</v>
      </c>
      <c r="F12" s="62">
        <f>COUNTIF('Delivery Tracker'!$B$4:$B$400,$A12)</f>
        <v>10</v>
      </c>
      <c r="G12" s="65">
        <f t="shared" si="0"/>
        <v>0.4</v>
      </c>
      <c r="H12" s="62">
        <f>COUNTIFS('Delivery Tracker'!$B$4:$B$400,$A12,'Delivery Tracker'!$H$4:$H$400,"In Progress")</f>
        <v>6</v>
      </c>
      <c r="I12" s="62">
        <f>COUNTIFS('Delivery Tracker'!$B$4:$B$400,$A12,'Delivery Tracker'!$H$4:$H$400,"In Review")</f>
        <v>0</v>
      </c>
      <c r="J12" s="62">
        <f>COUNTIFS('Delivery Tracker'!$B$4:$B$400,$A12,'Delivery Tracker'!$H$4:$H$400,"Blocked")</f>
        <v>0</v>
      </c>
      <c r="K12" s="62">
        <f>COUNTIFS('Delivery Tracker'!$B$4:$B$400,$A12,'Delivery Tracker'!$H$4:$H$400,"Not Started")</f>
        <v>0</v>
      </c>
      <c r="L12" s="62" t="s">
        <v>916</v>
      </c>
      <c r="M12" s="62" t="s">
        <v>917</v>
      </c>
      <c r="N12" s="62" t="s">
        <v>918</v>
      </c>
      <c r="O12" s="62" t="s">
        <v>919</v>
      </c>
      <c r="P12" s="63">
        <v>46275.666666666664</v>
      </c>
    </row>
    <row r="13" spans="1:16" ht="57.95" customHeight="1">
      <c r="A13" s="62" t="s">
        <v>845</v>
      </c>
      <c r="B13" s="62" t="s">
        <v>846</v>
      </c>
      <c r="C13" s="62" t="s">
        <v>816</v>
      </c>
      <c r="D13" s="62" t="s">
        <v>813</v>
      </c>
      <c r="E13" s="62">
        <f>COUNTIFS('Delivery Tracker'!$B$4:$B$400,$A13,'Delivery Tracker'!$H$4:$H$400,"Done")</f>
        <v>1</v>
      </c>
      <c r="F13" s="62">
        <f>COUNTIF('Delivery Tracker'!$B$4:$B$400,$A13)</f>
        <v>4</v>
      </c>
      <c r="G13" s="65">
        <f t="shared" si="0"/>
        <v>0.25</v>
      </c>
      <c r="H13" s="62">
        <f>COUNTIFS('Delivery Tracker'!$B$4:$B$400,$A13,'Delivery Tracker'!$H$4:$H$400,"In Progress")</f>
        <v>2</v>
      </c>
      <c r="I13" s="62">
        <f>COUNTIFS('Delivery Tracker'!$B$4:$B$400,$A13,'Delivery Tracker'!$H$4:$H$400,"In Review")</f>
        <v>0</v>
      </c>
      <c r="J13" s="62">
        <f>COUNTIFS('Delivery Tracker'!$B$4:$B$400,$A13,'Delivery Tracker'!$H$4:$H$400,"Blocked")</f>
        <v>0</v>
      </c>
      <c r="K13" s="62">
        <f>COUNTIFS('Delivery Tracker'!$B$4:$B$400,$A13,'Delivery Tracker'!$H$4:$H$400,"Not Started")</f>
        <v>1</v>
      </c>
      <c r="L13" s="62" t="s">
        <v>920</v>
      </c>
      <c r="M13" s="62" t="s">
        <v>921</v>
      </c>
      <c r="N13" s="62" t="s">
        <v>922</v>
      </c>
      <c r="O13" s="62" t="s">
        <v>923</v>
      </c>
      <c r="P13" s="63">
        <v>46271.666666666664</v>
      </c>
    </row>
    <row r="14" spans="1:16" ht="57.95" customHeight="1">
      <c r="A14" s="62" t="s">
        <v>847</v>
      </c>
      <c r="B14" s="62" t="s">
        <v>848</v>
      </c>
      <c r="C14" s="62" t="s">
        <v>816</v>
      </c>
      <c r="D14" s="62" t="s">
        <v>813</v>
      </c>
      <c r="E14" s="62">
        <f>COUNTIFS('Delivery Tracker'!$B$4:$B$400,$A14,'Delivery Tracker'!$H$4:$H$400,"Done")</f>
        <v>0</v>
      </c>
      <c r="F14" s="62">
        <f>COUNTIF('Delivery Tracker'!$B$4:$B$400,$A14)</f>
        <v>1</v>
      </c>
      <c r="G14" s="65">
        <f t="shared" si="0"/>
        <v>0</v>
      </c>
      <c r="H14" s="62">
        <f>COUNTIFS('Delivery Tracker'!$B$4:$B$400,$A14,'Delivery Tracker'!$H$4:$H$400,"In Progress")</f>
        <v>1</v>
      </c>
      <c r="I14" s="62">
        <f>COUNTIFS('Delivery Tracker'!$B$4:$B$400,$A14,'Delivery Tracker'!$H$4:$H$400,"In Review")</f>
        <v>0</v>
      </c>
      <c r="J14" s="62">
        <f>COUNTIFS('Delivery Tracker'!$B$4:$B$400,$A14,'Delivery Tracker'!$H$4:$H$400,"Blocked")</f>
        <v>0</v>
      </c>
      <c r="K14" s="62">
        <f>COUNTIFS('Delivery Tracker'!$B$4:$B$400,$A14,'Delivery Tracker'!$H$4:$H$400,"Not Started")</f>
        <v>0</v>
      </c>
      <c r="L14" s="62" t="s">
        <v>924</v>
      </c>
      <c r="M14" s="62" t="s">
        <v>925</v>
      </c>
      <c r="N14" s="62" t="s">
        <v>926</v>
      </c>
      <c r="O14" s="62" t="s">
        <v>927</v>
      </c>
      <c r="P14" s="63">
        <v>46255.666666666664</v>
      </c>
    </row>
    <row r="15" spans="1:16" ht="57.95" customHeight="1">
      <c r="A15" s="62" t="s">
        <v>849</v>
      </c>
      <c r="B15" s="62" t="s">
        <v>850</v>
      </c>
      <c r="C15" s="62" t="s">
        <v>531</v>
      </c>
      <c r="D15" s="62" t="s">
        <v>819</v>
      </c>
      <c r="E15" s="62">
        <f>COUNTIFS('Delivery Tracker'!$B$4:$B$400,$A15,'Delivery Tracker'!$H$4:$H$400,"Done")</f>
        <v>0</v>
      </c>
      <c r="F15" s="62">
        <f>COUNTIF('Delivery Tracker'!$B$4:$B$400,$A15)</f>
        <v>14</v>
      </c>
      <c r="G15" s="65">
        <f t="shared" si="0"/>
        <v>0</v>
      </c>
      <c r="H15" s="62">
        <f>COUNTIFS('Delivery Tracker'!$B$4:$B$400,$A15,'Delivery Tracker'!$H$4:$H$400,"In Progress")</f>
        <v>2</v>
      </c>
      <c r="I15" s="62">
        <f>COUNTIFS('Delivery Tracker'!$B$4:$B$400,$A15,'Delivery Tracker'!$H$4:$H$400,"In Review")</f>
        <v>0</v>
      </c>
      <c r="J15" s="62">
        <f>COUNTIFS('Delivery Tracker'!$B$4:$B$400,$A15,'Delivery Tracker'!$H$4:$H$400,"Blocked")</f>
        <v>0</v>
      </c>
      <c r="K15" s="62">
        <f>COUNTIFS('Delivery Tracker'!$B$4:$B$400,$A15,'Delivery Tracker'!$H$4:$H$400,"Not Started")</f>
        <v>12</v>
      </c>
      <c r="L15" s="62" t="s">
        <v>928</v>
      </c>
      <c r="M15" s="62" t="s">
        <v>929</v>
      </c>
      <c r="N15" s="62" t="s">
        <v>930</v>
      </c>
      <c r="O15" s="62" t="s">
        <v>904</v>
      </c>
      <c r="P15" s="63">
        <v>46271.666666666664</v>
      </c>
    </row>
    <row r="16" spans="1:16" ht="57.95" customHeight="1">
      <c r="A16" s="62" t="s">
        <v>851</v>
      </c>
      <c r="B16" s="62" t="s">
        <v>852</v>
      </c>
      <c r="C16" s="62" t="s">
        <v>483</v>
      </c>
      <c r="D16" s="62" t="s">
        <v>813</v>
      </c>
      <c r="E16" s="62">
        <f>COUNTIFS('Delivery Tracker'!$B$4:$B$400,$A16,'Delivery Tracker'!$H$4:$H$400,"Done")</f>
        <v>0</v>
      </c>
      <c r="F16" s="62">
        <f>COUNTIF('Delivery Tracker'!$B$4:$B$400,$A16)</f>
        <v>2</v>
      </c>
      <c r="G16" s="65">
        <f t="shared" si="0"/>
        <v>0</v>
      </c>
      <c r="H16" s="62">
        <f>COUNTIFS('Delivery Tracker'!$B$4:$B$400,$A16,'Delivery Tracker'!$H$4:$H$400,"In Progress")</f>
        <v>0</v>
      </c>
      <c r="I16" s="62">
        <f>COUNTIFS('Delivery Tracker'!$B$4:$B$400,$A16,'Delivery Tracker'!$H$4:$H$400,"In Review")</f>
        <v>0</v>
      </c>
      <c r="J16" s="62">
        <f>COUNTIFS('Delivery Tracker'!$B$4:$B$400,$A16,'Delivery Tracker'!$H$4:$H$400,"Blocked")</f>
        <v>0</v>
      </c>
      <c r="K16" s="62">
        <f>COUNTIFS('Delivery Tracker'!$B$4:$B$400,$A16,'Delivery Tracker'!$H$4:$H$400,"Not Started")</f>
        <v>0</v>
      </c>
      <c r="L16" s="62" t="s">
        <v>931</v>
      </c>
      <c r="M16" s="62" t="s">
        <v>932</v>
      </c>
      <c r="N16" s="62" t="s">
        <v>933</v>
      </c>
      <c r="O16" s="62" t="s">
        <v>524</v>
      </c>
      <c r="P16" s="63">
        <v>46271.666666666664</v>
      </c>
    </row>
    <row r="17" spans="1:16" ht="57.95" customHeight="1">
      <c r="A17" s="62" t="s">
        <v>853</v>
      </c>
      <c r="B17" s="62" t="s">
        <v>854</v>
      </c>
      <c r="C17" s="62" t="s">
        <v>816</v>
      </c>
      <c r="D17" s="62" t="s">
        <v>813</v>
      </c>
      <c r="E17" s="62">
        <f>COUNTIFS('Delivery Tracker'!$B$4:$B$400,$A17,'Delivery Tracker'!$H$4:$H$400,"Done")</f>
        <v>0</v>
      </c>
      <c r="F17" s="62">
        <f>COUNTIF('Delivery Tracker'!$B$4:$B$400,$A17)</f>
        <v>2</v>
      </c>
      <c r="G17" s="65">
        <f t="shared" si="0"/>
        <v>0</v>
      </c>
      <c r="H17" s="62">
        <f>COUNTIFS('Delivery Tracker'!$B$4:$B$400,$A17,'Delivery Tracker'!$H$4:$H$400,"In Progress")</f>
        <v>1</v>
      </c>
      <c r="I17" s="62">
        <f>COUNTIFS('Delivery Tracker'!$B$4:$B$400,$A17,'Delivery Tracker'!$H$4:$H$400,"In Review")</f>
        <v>0</v>
      </c>
      <c r="J17" s="62">
        <f>COUNTIFS('Delivery Tracker'!$B$4:$B$400,$A17,'Delivery Tracker'!$H$4:$H$400,"Blocked")</f>
        <v>0</v>
      </c>
      <c r="K17" s="62">
        <f>COUNTIFS('Delivery Tracker'!$B$4:$B$400,$A17,'Delivery Tracker'!$H$4:$H$400,"Not Started")</f>
        <v>1</v>
      </c>
      <c r="L17" s="62" t="s">
        <v>934</v>
      </c>
      <c r="M17" s="62" t="s">
        <v>935</v>
      </c>
      <c r="N17" s="62" t="s">
        <v>936</v>
      </c>
      <c r="O17" s="62" t="s">
        <v>937</v>
      </c>
      <c r="P17" s="63">
        <v>46255.666666666664</v>
      </c>
    </row>
    <row r="18" spans="1:16" ht="57.95" customHeight="1">
      <c r="A18" s="62" t="s">
        <v>855</v>
      </c>
      <c r="B18" s="62" t="s">
        <v>856</v>
      </c>
      <c r="C18" s="62" t="s">
        <v>816</v>
      </c>
      <c r="D18" s="62" t="s">
        <v>825</v>
      </c>
      <c r="E18" s="62">
        <f>COUNTIFS('Delivery Tracker'!$B$4:$B$400,$A18,'Delivery Tracker'!$H$4:$H$400,"Done")</f>
        <v>1</v>
      </c>
      <c r="F18" s="62">
        <f>COUNTIF('Delivery Tracker'!$B$4:$B$400,$A18)</f>
        <v>22</v>
      </c>
      <c r="G18" s="65">
        <f t="shared" si="0"/>
        <v>4.5454545454545456E-2</v>
      </c>
      <c r="H18" s="62">
        <f>COUNTIFS('Delivery Tracker'!$B$4:$B$400,$A18,'Delivery Tracker'!$H$4:$H$400,"In Progress")</f>
        <v>3</v>
      </c>
      <c r="I18" s="62">
        <f>COUNTIFS('Delivery Tracker'!$B$4:$B$400,$A18,'Delivery Tracker'!$H$4:$H$400,"In Review")</f>
        <v>0</v>
      </c>
      <c r="J18" s="62">
        <f>COUNTIFS('Delivery Tracker'!$B$4:$B$400,$A18,'Delivery Tracker'!$H$4:$H$400,"Blocked")</f>
        <v>0</v>
      </c>
      <c r="K18" s="62">
        <f>COUNTIFS('Delivery Tracker'!$B$4:$B$400,$A18,'Delivery Tracker'!$H$4:$H$400,"Not Started")</f>
        <v>18</v>
      </c>
      <c r="L18" s="62" t="s">
        <v>938</v>
      </c>
      <c r="M18" s="62" t="s">
        <v>939</v>
      </c>
      <c r="N18" s="62" t="s">
        <v>940</v>
      </c>
      <c r="O18" s="62" t="s">
        <v>941</v>
      </c>
      <c r="P18" s="63">
        <v>46274.666666666664</v>
      </c>
    </row>
    <row r="19" spans="1:16" ht="57.95" customHeight="1">
      <c r="A19" s="62" t="s">
        <v>857</v>
      </c>
      <c r="B19" s="62" t="s">
        <v>561</v>
      </c>
      <c r="C19" s="62" t="s">
        <v>483</v>
      </c>
      <c r="D19" s="62" t="s">
        <v>836</v>
      </c>
      <c r="E19" s="62">
        <f>COUNTIFS('Delivery Tracker'!$B$4:$B$400,$A19,'Delivery Tracker'!$H$4:$H$400,"Done")</f>
        <v>0</v>
      </c>
      <c r="F19" s="62">
        <f>COUNTIF('Delivery Tracker'!$B$4:$B$400,$A19)</f>
        <v>1</v>
      </c>
      <c r="G19" s="65">
        <f t="shared" si="0"/>
        <v>0</v>
      </c>
      <c r="H19" s="62">
        <f>COUNTIFS('Delivery Tracker'!$B$4:$B$400,$A19,'Delivery Tracker'!$H$4:$H$400,"In Progress")</f>
        <v>0</v>
      </c>
      <c r="I19" s="62">
        <f>COUNTIFS('Delivery Tracker'!$B$4:$B$400,$A19,'Delivery Tracker'!$H$4:$H$400,"In Review")</f>
        <v>0</v>
      </c>
      <c r="J19" s="62">
        <f>COUNTIFS('Delivery Tracker'!$B$4:$B$400,$A19,'Delivery Tracker'!$H$4:$H$400,"Blocked")</f>
        <v>0</v>
      </c>
      <c r="K19" s="62">
        <f>COUNTIFS('Delivery Tracker'!$B$4:$B$400,$A19,'Delivery Tracker'!$H$4:$H$400,"Not Started")</f>
        <v>1</v>
      </c>
      <c r="L19" s="62" t="s">
        <v>942</v>
      </c>
      <c r="M19" s="62" t="s">
        <v>943</v>
      </c>
      <c r="N19" s="62" t="s">
        <v>944</v>
      </c>
      <c r="O19" s="62" t="s">
        <v>945</v>
      </c>
      <c r="P19" s="63">
        <v>46255.666666666664</v>
      </c>
    </row>
  </sheetData>
  <mergeCells count="2">
    <mergeCell ref="A1:P1"/>
    <mergeCell ref="A2:P2"/>
  </mergeCells>
  <conditionalFormatting sqref="C4:C19">
    <cfRule type="containsText" dxfId="33" priority="1" operator="containsText" text="Complete"/>
    <cfRule type="containsText" dxfId="32" priority="2" operator="containsText" text="Partially Complete"/>
    <cfRule type="containsText" dxfId="31" priority="3" operator="containsText" text="Foundation Complete"/>
    <cfRule type="containsText" dxfId="30" priority="4" operator="containsText" text="Blocked"/>
    <cfRule type="containsText" dxfId="29" priority="5" operator="containsText" text="Not Started"/>
    <cfRule type="containsText" dxfId="28" priority="6" operator="containsText" text="Deferred"/>
  </conditionalFormatting>
  <dataValidations count="2">
    <dataValidation type="list" sqref="C4:C19" xr:uid="{00000000-0002-0000-0700-000000000000}">
      <formula1>"Not Started,Partially Complete,Foundation Complete,Complete,Blocked,Deferred"</formula1>
    </dataValidation>
    <dataValidation type="list" sqref="D4:D19" xr:uid="{00000000-0002-0000-0700-000001000000}">
      <formula1>"Decision Locked,UI Prototype,Backend Implemented,Integrated,Production-Ready,N/A"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64"/>
  <sheetViews>
    <sheetView showGridLines="0" tabSelected="1" workbookViewId="0">
      <selection activeCell="H4" sqref="H4"/>
    </sheetView>
  </sheetViews>
  <sheetFormatPr defaultRowHeight="15"/>
  <cols>
    <col min="1" max="1" width="14" customWidth="1"/>
    <col min="2" max="2" width="9" customWidth="1"/>
    <col min="3" max="3" width="31" customWidth="1"/>
    <col min="4" max="4" width="16" customWidth="1"/>
    <col min="5" max="5" width="18" customWidth="1"/>
    <col min="6" max="6" width="25" customWidth="1"/>
    <col min="7" max="7" width="34" customWidth="1"/>
    <col min="8" max="10" width="15" customWidth="1"/>
    <col min="11" max="11" width="14" customWidth="1"/>
    <col min="12" max="12" width="25" customWidth="1"/>
    <col min="13" max="13" width="40" customWidth="1"/>
    <col min="14" max="14" width="13" customWidth="1"/>
    <col min="15" max="15" width="38" customWidth="1"/>
    <col min="16" max="16" width="13" customWidth="1"/>
    <col min="17" max="17" width="44" customWidth="1"/>
    <col min="18" max="18" width="52" customWidth="1"/>
    <col min="19" max="19" width="32" customWidth="1"/>
  </cols>
  <sheetData>
    <row r="1" spans="1:19" ht="32.1" customHeight="1">
      <c r="A1" s="94" t="s">
        <v>946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</row>
    <row r="2" spans="1:19" ht="24" customHeight="1">
      <c r="A2" s="95" t="s">
        <v>947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</row>
    <row r="3" spans="1:19" ht="33.950000000000003" customHeight="1">
      <c r="A3" s="59" t="s">
        <v>948</v>
      </c>
      <c r="B3" s="59" t="s">
        <v>801</v>
      </c>
      <c r="C3" s="59" t="s">
        <v>881</v>
      </c>
      <c r="D3" s="59" t="s">
        <v>949</v>
      </c>
      <c r="E3" s="59" t="s">
        <v>804</v>
      </c>
      <c r="F3" s="59" t="s">
        <v>950</v>
      </c>
      <c r="G3" s="59" t="s">
        <v>951</v>
      </c>
      <c r="H3" s="59" t="s">
        <v>519</v>
      </c>
      <c r="I3" s="59" t="s">
        <v>537</v>
      </c>
      <c r="J3" s="59" t="s">
        <v>333</v>
      </c>
      <c r="K3" s="59" t="s">
        <v>803</v>
      </c>
      <c r="L3" s="59" t="s">
        <v>952</v>
      </c>
      <c r="M3" s="59" t="s">
        <v>953</v>
      </c>
      <c r="N3" s="59" t="s">
        <v>954</v>
      </c>
      <c r="O3" s="59" t="s">
        <v>523</v>
      </c>
      <c r="P3" s="59" t="s">
        <v>885</v>
      </c>
      <c r="Q3" s="59" t="s">
        <v>955</v>
      </c>
      <c r="R3" s="59" t="s">
        <v>956</v>
      </c>
      <c r="S3" s="59" t="s">
        <v>957</v>
      </c>
    </row>
    <row r="4" spans="1:19" ht="45.95" customHeight="1">
      <c r="A4" s="60" t="s">
        <v>958</v>
      </c>
      <c r="B4" s="60" t="s">
        <v>805</v>
      </c>
      <c r="C4" s="60" t="s">
        <v>806</v>
      </c>
      <c r="D4" s="60"/>
      <c r="E4" s="60" t="s">
        <v>827</v>
      </c>
      <c r="F4" s="60" t="s">
        <v>806</v>
      </c>
      <c r="G4" s="60" t="s">
        <v>7</v>
      </c>
      <c r="H4" s="123" t="s">
        <v>528</v>
      </c>
      <c r="I4" s="60" t="s">
        <v>807</v>
      </c>
      <c r="J4" s="60" t="s">
        <v>350</v>
      </c>
      <c r="K4" s="60" t="s">
        <v>814</v>
      </c>
      <c r="L4" s="60"/>
      <c r="M4" s="60" t="s">
        <v>959</v>
      </c>
      <c r="N4" s="61"/>
      <c r="O4" s="60"/>
      <c r="P4" s="61">
        <v>46250.666666666664</v>
      </c>
      <c r="Q4" s="60" t="s">
        <v>8</v>
      </c>
      <c r="R4" s="60" t="s">
        <v>10</v>
      </c>
      <c r="S4" s="60" t="s">
        <v>960</v>
      </c>
    </row>
    <row r="5" spans="1:19" ht="45.95" customHeight="1">
      <c r="A5" s="62" t="s">
        <v>961</v>
      </c>
      <c r="B5" s="62" t="s">
        <v>805</v>
      </c>
      <c r="C5" s="62" t="s">
        <v>806</v>
      </c>
      <c r="D5" s="62"/>
      <c r="E5" s="62" t="s">
        <v>827</v>
      </c>
      <c r="F5" s="62" t="s">
        <v>806</v>
      </c>
      <c r="G5" s="62" t="s">
        <v>11</v>
      </c>
      <c r="H5" s="62" t="s">
        <v>528</v>
      </c>
      <c r="I5" s="62" t="s">
        <v>807</v>
      </c>
      <c r="J5" s="62" t="s">
        <v>350</v>
      </c>
      <c r="K5" s="62" t="s">
        <v>814</v>
      </c>
      <c r="L5" s="62"/>
      <c r="M5" s="62" t="s">
        <v>959</v>
      </c>
      <c r="N5" s="63"/>
      <c r="O5" s="62"/>
      <c r="P5" s="63">
        <v>46250.666666666664</v>
      </c>
      <c r="Q5" s="62" t="s">
        <v>12</v>
      </c>
      <c r="R5" s="62" t="s">
        <v>13</v>
      </c>
      <c r="S5" s="62" t="s">
        <v>962</v>
      </c>
    </row>
    <row r="6" spans="1:19" ht="45.95" customHeight="1">
      <c r="A6" s="62" t="s">
        <v>963</v>
      </c>
      <c r="B6" s="62" t="s">
        <v>805</v>
      </c>
      <c r="C6" s="62" t="s">
        <v>806</v>
      </c>
      <c r="D6" s="62"/>
      <c r="E6" s="62" t="s">
        <v>827</v>
      </c>
      <c r="F6" s="62" t="s">
        <v>806</v>
      </c>
      <c r="G6" s="62" t="s">
        <v>14</v>
      </c>
      <c r="H6" s="62" t="s">
        <v>528</v>
      </c>
      <c r="I6" s="62" t="s">
        <v>807</v>
      </c>
      <c r="J6" s="62" t="s">
        <v>350</v>
      </c>
      <c r="K6" s="62" t="s">
        <v>814</v>
      </c>
      <c r="L6" s="62"/>
      <c r="M6" s="62" t="s">
        <v>959</v>
      </c>
      <c r="N6" s="63"/>
      <c r="O6" s="62"/>
      <c r="P6" s="63">
        <v>46250.666666666664</v>
      </c>
      <c r="Q6" s="62" t="s">
        <v>15</v>
      </c>
      <c r="R6" s="62" t="s">
        <v>16</v>
      </c>
      <c r="S6" s="62" t="s">
        <v>964</v>
      </c>
    </row>
    <row r="7" spans="1:19" ht="45.95" customHeight="1">
      <c r="A7" s="62" t="s">
        <v>965</v>
      </c>
      <c r="B7" s="62" t="s">
        <v>805</v>
      </c>
      <c r="C7" s="62" t="s">
        <v>806</v>
      </c>
      <c r="D7" s="62"/>
      <c r="E7" s="62" t="s">
        <v>827</v>
      </c>
      <c r="F7" s="62" t="s">
        <v>806</v>
      </c>
      <c r="G7" s="62" t="s">
        <v>17</v>
      </c>
      <c r="H7" s="62" t="s">
        <v>528</v>
      </c>
      <c r="I7" s="62" t="s">
        <v>807</v>
      </c>
      <c r="J7" s="62" t="s">
        <v>350</v>
      </c>
      <c r="K7" s="62" t="s">
        <v>814</v>
      </c>
      <c r="L7" s="62"/>
      <c r="M7" s="62" t="s">
        <v>959</v>
      </c>
      <c r="N7" s="63"/>
      <c r="O7" s="62" t="s">
        <v>966</v>
      </c>
      <c r="P7" s="63">
        <v>46250.666666666664</v>
      </c>
      <c r="Q7" s="62" t="s">
        <v>18</v>
      </c>
      <c r="R7" s="62" t="s">
        <v>580</v>
      </c>
      <c r="S7" s="62" t="s">
        <v>967</v>
      </c>
    </row>
    <row r="8" spans="1:19" ht="45.95" customHeight="1">
      <c r="A8" s="62" t="s">
        <v>1371</v>
      </c>
      <c r="B8" s="62" t="s">
        <v>805</v>
      </c>
      <c r="C8" s="62" t="s">
        <v>806</v>
      </c>
      <c r="D8" s="62" t="s">
        <v>829</v>
      </c>
      <c r="E8" s="62" t="s">
        <v>827</v>
      </c>
      <c r="F8" s="62" t="s">
        <v>806</v>
      </c>
      <c r="G8" s="62" t="s">
        <v>686</v>
      </c>
      <c r="H8" s="125" t="s">
        <v>528</v>
      </c>
      <c r="I8" s="62" t="s">
        <v>836</v>
      </c>
      <c r="J8" s="62" t="s">
        <v>368</v>
      </c>
      <c r="K8" s="62" t="s">
        <v>814</v>
      </c>
      <c r="L8" s="62" t="s">
        <v>984</v>
      </c>
      <c r="M8" s="62" t="s">
        <v>1372</v>
      </c>
      <c r="N8" s="63"/>
      <c r="O8" s="62" t="s">
        <v>1373</v>
      </c>
      <c r="P8" s="63">
        <v>46271.666666666664</v>
      </c>
      <c r="Q8" s="62" t="s">
        <v>687</v>
      </c>
      <c r="R8" s="62" t="s">
        <v>1374</v>
      </c>
      <c r="S8" s="62" t="s">
        <v>1375</v>
      </c>
    </row>
    <row r="9" spans="1:19" ht="45.95" customHeight="1">
      <c r="A9" s="62" t="s">
        <v>1383</v>
      </c>
      <c r="B9" s="62" t="s">
        <v>805</v>
      </c>
      <c r="C9" s="62" t="s">
        <v>806</v>
      </c>
      <c r="D9" s="62"/>
      <c r="E9" s="62" t="s">
        <v>809</v>
      </c>
      <c r="F9" s="62" t="s">
        <v>1384</v>
      </c>
      <c r="G9" s="62" t="s">
        <v>1385</v>
      </c>
      <c r="H9" s="62" t="s">
        <v>528</v>
      </c>
      <c r="I9" s="62" t="s">
        <v>836</v>
      </c>
      <c r="J9" s="62" t="s">
        <v>368</v>
      </c>
      <c r="K9" s="62" t="s">
        <v>814</v>
      </c>
      <c r="L9" s="62"/>
      <c r="M9" s="62" t="s">
        <v>1386</v>
      </c>
      <c r="N9" s="63"/>
      <c r="O9" s="62" t="s">
        <v>889</v>
      </c>
      <c r="P9" s="63">
        <v>46255.666666666664</v>
      </c>
      <c r="Q9" s="62" t="s">
        <v>1387</v>
      </c>
      <c r="R9" s="62" t="s">
        <v>1388</v>
      </c>
      <c r="S9" s="62" t="s">
        <v>1389</v>
      </c>
    </row>
    <row r="10" spans="1:19" ht="45.95" customHeight="1">
      <c r="A10" s="62" t="s">
        <v>1046</v>
      </c>
      <c r="B10" s="62" t="s">
        <v>810</v>
      </c>
      <c r="C10" s="62" t="s">
        <v>811</v>
      </c>
      <c r="D10" s="62"/>
      <c r="E10" s="62" t="s">
        <v>827</v>
      </c>
      <c r="F10" s="62" t="s">
        <v>811</v>
      </c>
      <c r="G10" s="62" t="s">
        <v>94</v>
      </c>
      <c r="H10" s="62" t="s">
        <v>528</v>
      </c>
      <c r="I10" s="62" t="s">
        <v>807</v>
      </c>
      <c r="J10" s="62" t="s">
        <v>350</v>
      </c>
      <c r="K10" s="62" t="s">
        <v>814</v>
      </c>
      <c r="L10" s="62"/>
      <c r="M10" s="62" t="s">
        <v>959</v>
      </c>
      <c r="N10" s="63"/>
      <c r="O10" s="62"/>
      <c r="P10" s="63">
        <v>46250.666666666664</v>
      </c>
      <c r="Q10" s="62" t="s">
        <v>95</v>
      </c>
      <c r="R10" s="62" t="s">
        <v>96</v>
      </c>
      <c r="S10" s="62" t="s">
        <v>1047</v>
      </c>
    </row>
    <row r="11" spans="1:19" ht="45.95" customHeight="1">
      <c r="A11" s="62" t="s">
        <v>1048</v>
      </c>
      <c r="B11" s="62" t="s">
        <v>810</v>
      </c>
      <c r="C11" s="62" t="s">
        <v>811</v>
      </c>
      <c r="D11" s="62"/>
      <c r="E11" s="62" t="s">
        <v>827</v>
      </c>
      <c r="F11" s="62" t="s">
        <v>811</v>
      </c>
      <c r="G11" s="62" t="s">
        <v>97</v>
      </c>
      <c r="H11" s="62" t="s">
        <v>529</v>
      </c>
      <c r="I11" s="62" t="s">
        <v>807</v>
      </c>
      <c r="J11" s="62" t="s">
        <v>338</v>
      </c>
      <c r="K11" s="62" t="s">
        <v>814</v>
      </c>
      <c r="L11" s="62"/>
      <c r="M11" s="62" t="s">
        <v>1049</v>
      </c>
      <c r="N11" s="63"/>
      <c r="O11" s="62"/>
      <c r="P11" s="63">
        <v>46250.666666666664</v>
      </c>
      <c r="Q11" s="62" t="s">
        <v>98</v>
      </c>
      <c r="R11" s="62" t="s">
        <v>99</v>
      </c>
      <c r="S11" s="62" t="s">
        <v>1050</v>
      </c>
    </row>
    <row r="12" spans="1:19" ht="45.95" customHeight="1">
      <c r="A12" s="62" t="s">
        <v>1051</v>
      </c>
      <c r="B12" s="62" t="s">
        <v>810</v>
      </c>
      <c r="C12" s="62" t="s">
        <v>811</v>
      </c>
      <c r="D12" s="62"/>
      <c r="E12" s="62" t="s">
        <v>827</v>
      </c>
      <c r="F12" s="62" t="s">
        <v>811</v>
      </c>
      <c r="G12" s="62" t="s">
        <v>100</v>
      </c>
      <c r="H12" s="62" t="s">
        <v>529</v>
      </c>
      <c r="I12" s="62" t="s">
        <v>807</v>
      </c>
      <c r="J12" s="62" t="s">
        <v>338</v>
      </c>
      <c r="K12" s="62" t="s">
        <v>814</v>
      </c>
      <c r="L12" s="62"/>
      <c r="M12" s="62" t="s">
        <v>1052</v>
      </c>
      <c r="N12" s="63"/>
      <c r="O12" s="62"/>
      <c r="P12" s="63">
        <v>46250.666666666664</v>
      </c>
      <c r="Q12" s="62" t="s">
        <v>101</v>
      </c>
      <c r="R12" s="62" t="s">
        <v>102</v>
      </c>
      <c r="S12" s="62" t="s">
        <v>1053</v>
      </c>
    </row>
    <row r="13" spans="1:19" ht="45.95" customHeight="1">
      <c r="A13" s="62" t="s">
        <v>1054</v>
      </c>
      <c r="B13" s="62" t="s">
        <v>810</v>
      </c>
      <c r="C13" s="62" t="s">
        <v>811</v>
      </c>
      <c r="D13" s="62"/>
      <c r="E13" s="62" t="s">
        <v>827</v>
      </c>
      <c r="F13" s="62" t="s">
        <v>811</v>
      </c>
      <c r="G13" s="62" t="s">
        <v>103</v>
      </c>
      <c r="H13" s="62" t="s">
        <v>528</v>
      </c>
      <c r="I13" s="62" t="s">
        <v>807</v>
      </c>
      <c r="J13" s="62" t="s">
        <v>350</v>
      </c>
      <c r="K13" s="62" t="s">
        <v>814</v>
      </c>
      <c r="L13" s="62"/>
      <c r="M13" s="62" t="s">
        <v>959</v>
      </c>
      <c r="N13" s="63"/>
      <c r="O13" s="62"/>
      <c r="P13" s="63">
        <v>46250.666666666664</v>
      </c>
      <c r="Q13" s="62" t="s">
        <v>104</v>
      </c>
      <c r="R13" s="62" t="s">
        <v>105</v>
      </c>
      <c r="S13" s="62" t="s">
        <v>1055</v>
      </c>
    </row>
    <row r="14" spans="1:19" ht="45.95" customHeight="1">
      <c r="A14" s="62" t="s">
        <v>1056</v>
      </c>
      <c r="B14" s="62" t="s">
        <v>810</v>
      </c>
      <c r="C14" s="62" t="s">
        <v>811</v>
      </c>
      <c r="D14" s="62"/>
      <c r="E14" s="62" t="s">
        <v>827</v>
      </c>
      <c r="F14" s="62" t="s">
        <v>811</v>
      </c>
      <c r="G14" s="62" t="s">
        <v>106</v>
      </c>
      <c r="H14" s="62" t="s">
        <v>529</v>
      </c>
      <c r="I14" s="62" t="s">
        <v>807</v>
      </c>
      <c r="J14" s="62" t="s">
        <v>338</v>
      </c>
      <c r="K14" s="62" t="s">
        <v>814</v>
      </c>
      <c r="L14" s="62"/>
      <c r="M14" s="62" t="s">
        <v>1057</v>
      </c>
      <c r="N14" s="63"/>
      <c r="O14" s="62"/>
      <c r="P14" s="63">
        <v>46250.666666666664</v>
      </c>
      <c r="Q14" s="62" t="s">
        <v>107</v>
      </c>
      <c r="R14" s="62" t="s">
        <v>108</v>
      </c>
      <c r="S14" s="62" t="s">
        <v>1058</v>
      </c>
    </row>
    <row r="15" spans="1:19" ht="45.95" customHeight="1">
      <c r="A15" s="62" t="s">
        <v>1062</v>
      </c>
      <c r="B15" s="62" t="s">
        <v>810</v>
      </c>
      <c r="C15" s="62" t="s">
        <v>811</v>
      </c>
      <c r="D15" s="62"/>
      <c r="E15" s="62" t="s">
        <v>827</v>
      </c>
      <c r="F15" s="62" t="s">
        <v>811</v>
      </c>
      <c r="G15" s="62" t="s">
        <v>586</v>
      </c>
      <c r="H15" s="62" t="s">
        <v>528</v>
      </c>
      <c r="I15" s="62" t="s">
        <v>825</v>
      </c>
      <c r="J15" s="62" t="s">
        <v>338</v>
      </c>
      <c r="K15" s="62" t="s">
        <v>814</v>
      </c>
      <c r="L15" s="62"/>
      <c r="M15" s="62" t="s">
        <v>1063</v>
      </c>
      <c r="N15" s="63"/>
      <c r="O15" s="62" t="s">
        <v>1064</v>
      </c>
      <c r="P15" s="63">
        <v>46275.666666666664</v>
      </c>
      <c r="Q15" s="62" t="s">
        <v>587</v>
      </c>
      <c r="R15" s="62" t="s">
        <v>1065</v>
      </c>
      <c r="S15" s="62" t="s">
        <v>1066</v>
      </c>
    </row>
    <row r="16" spans="1:19" ht="45.95" customHeight="1">
      <c r="A16" s="62" t="s">
        <v>1122</v>
      </c>
      <c r="B16" s="62" t="s">
        <v>810</v>
      </c>
      <c r="C16" s="62" t="s">
        <v>811</v>
      </c>
      <c r="D16" s="62"/>
      <c r="E16" s="62" t="s">
        <v>827</v>
      </c>
      <c r="F16" s="62" t="s">
        <v>811</v>
      </c>
      <c r="G16" s="62" t="s">
        <v>155</v>
      </c>
      <c r="H16" s="62" t="s">
        <v>529</v>
      </c>
      <c r="I16" s="62" t="s">
        <v>807</v>
      </c>
      <c r="J16" s="62" t="s">
        <v>338</v>
      </c>
      <c r="K16" s="62" t="s">
        <v>814</v>
      </c>
      <c r="L16" s="62"/>
      <c r="M16" s="62" t="s">
        <v>1123</v>
      </c>
      <c r="N16" s="63"/>
      <c r="O16" s="62"/>
      <c r="P16" s="63">
        <v>46250.666666666664</v>
      </c>
      <c r="Q16" s="62" t="s">
        <v>156</v>
      </c>
      <c r="R16" s="62" t="s">
        <v>157</v>
      </c>
      <c r="S16" s="62" t="s">
        <v>1124</v>
      </c>
    </row>
    <row r="17" spans="1:19" ht="45.95" customHeight="1">
      <c r="A17" s="62" t="s">
        <v>1172</v>
      </c>
      <c r="B17" s="62" t="s">
        <v>810</v>
      </c>
      <c r="C17" s="62" t="s">
        <v>811</v>
      </c>
      <c r="D17" s="62"/>
      <c r="E17" s="62" t="s">
        <v>827</v>
      </c>
      <c r="F17" s="62" t="s">
        <v>811</v>
      </c>
      <c r="G17" s="62" t="s">
        <v>189</v>
      </c>
      <c r="H17" s="62" t="s">
        <v>528</v>
      </c>
      <c r="I17" s="62" t="s">
        <v>825</v>
      </c>
      <c r="J17" s="62" t="s">
        <v>350</v>
      </c>
      <c r="K17" s="62" t="s">
        <v>814</v>
      </c>
      <c r="L17" s="62"/>
      <c r="M17" s="62" t="s">
        <v>959</v>
      </c>
      <c r="N17" s="63"/>
      <c r="O17" s="62"/>
      <c r="P17" s="63">
        <v>46250.666666666664</v>
      </c>
      <c r="Q17" s="62" t="s">
        <v>190</v>
      </c>
      <c r="R17" s="62" t="s">
        <v>191</v>
      </c>
      <c r="S17" s="62" t="s">
        <v>1173</v>
      </c>
    </row>
    <row r="18" spans="1:19" ht="45.95" customHeight="1">
      <c r="A18" s="62" t="s">
        <v>1073</v>
      </c>
      <c r="B18" s="62" t="s">
        <v>817</v>
      </c>
      <c r="C18" s="62" t="s">
        <v>818</v>
      </c>
      <c r="D18" s="62"/>
      <c r="E18" s="62" t="s">
        <v>827</v>
      </c>
      <c r="F18" s="62" t="s">
        <v>818</v>
      </c>
      <c r="G18" s="62" t="s">
        <v>115</v>
      </c>
      <c r="H18" s="62" t="s">
        <v>528</v>
      </c>
      <c r="I18" s="62" t="s">
        <v>807</v>
      </c>
      <c r="J18" s="62" t="s">
        <v>350</v>
      </c>
      <c r="K18" s="62" t="s">
        <v>814</v>
      </c>
      <c r="L18" s="62"/>
      <c r="M18" s="62" t="s">
        <v>959</v>
      </c>
      <c r="N18" s="63"/>
      <c r="O18" s="62"/>
      <c r="P18" s="63">
        <v>46250.666666666664</v>
      </c>
      <c r="Q18" s="62" t="s">
        <v>116</v>
      </c>
      <c r="R18" s="62" t="s">
        <v>117</v>
      </c>
      <c r="S18" s="62" t="s">
        <v>1074</v>
      </c>
    </row>
    <row r="19" spans="1:19" ht="45.95" customHeight="1">
      <c r="A19" s="62" t="s">
        <v>1080</v>
      </c>
      <c r="B19" s="62" t="s">
        <v>817</v>
      </c>
      <c r="C19" s="62" t="s">
        <v>818</v>
      </c>
      <c r="D19" s="62"/>
      <c r="E19" s="62" t="s">
        <v>827</v>
      </c>
      <c r="F19" s="62" t="s">
        <v>818</v>
      </c>
      <c r="G19" s="62" t="s">
        <v>119</v>
      </c>
      <c r="H19" s="62" t="s">
        <v>529</v>
      </c>
      <c r="I19" s="62" t="s">
        <v>807</v>
      </c>
      <c r="J19" s="62" t="s">
        <v>338</v>
      </c>
      <c r="K19" s="62" t="s">
        <v>814</v>
      </c>
      <c r="L19" s="62"/>
      <c r="M19" s="62" t="s">
        <v>1081</v>
      </c>
      <c r="N19" s="63"/>
      <c r="O19" s="62"/>
      <c r="P19" s="63">
        <v>46274.666666666664</v>
      </c>
      <c r="Q19" s="62" t="s">
        <v>1082</v>
      </c>
      <c r="R19" s="62" t="s">
        <v>592</v>
      </c>
      <c r="S19" s="62" t="s">
        <v>1083</v>
      </c>
    </row>
    <row r="20" spans="1:19" ht="45.95" customHeight="1">
      <c r="A20" s="62" t="s">
        <v>1084</v>
      </c>
      <c r="B20" s="62" t="s">
        <v>817</v>
      </c>
      <c r="C20" s="62" t="s">
        <v>818</v>
      </c>
      <c r="D20" s="62"/>
      <c r="E20" s="62" t="s">
        <v>827</v>
      </c>
      <c r="F20" s="62" t="s">
        <v>818</v>
      </c>
      <c r="G20" s="62" t="s">
        <v>120</v>
      </c>
      <c r="H20" s="62" t="s">
        <v>529</v>
      </c>
      <c r="I20" s="62" t="s">
        <v>807</v>
      </c>
      <c r="J20" s="62" t="s">
        <v>338</v>
      </c>
      <c r="K20" s="62" t="s">
        <v>814</v>
      </c>
      <c r="L20" s="62"/>
      <c r="M20" s="62" t="s">
        <v>1085</v>
      </c>
      <c r="N20" s="63"/>
      <c r="O20" s="62" t="s">
        <v>1086</v>
      </c>
      <c r="P20" s="63">
        <v>46250.666666666664</v>
      </c>
      <c r="Q20" s="62" t="s">
        <v>121</v>
      </c>
      <c r="R20" s="62" t="s">
        <v>593</v>
      </c>
      <c r="S20" s="62" t="s">
        <v>1087</v>
      </c>
    </row>
    <row r="21" spans="1:19" ht="45.95" customHeight="1">
      <c r="A21" s="62" t="s">
        <v>1088</v>
      </c>
      <c r="B21" s="62" t="s">
        <v>817</v>
      </c>
      <c r="C21" s="62" t="s">
        <v>818</v>
      </c>
      <c r="D21" s="62"/>
      <c r="E21" s="62" t="s">
        <v>827</v>
      </c>
      <c r="F21" s="62" t="s">
        <v>818</v>
      </c>
      <c r="G21" s="62" t="s">
        <v>122</v>
      </c>
      <c r="H21" s="62" t="s">
        <v>529</v>
      </c>
      <c r="I21" s="62" t="s">
        <v>819</v>
      </c>
      <c r="J21" s="62" t="s">
        <v>368</v>
      </c>
      <c r="K21" s="62" t="s">
        <v>814</v>
      </c>
      <c r="L21" s="62"/>
      <c r="M21" s="62" t="s">
        <v>1089</v>
      </c>
      <c r="N21" s="63"/>
      <c r="O21" s="62"/>
      <c r="P21" s="63">
        <v>46250.666666666664</v>
      </c>
      <c r="Q21" s="62" t="s">
        <v>123</v>
      </c>
      <c r="R21" s="62" t="s">
        <v>594</v>
      </c>
      <c r="S21" s="62" t="s">
        <v>1090</v>
      </c>
    </row>
    <row r="22" spans="1:19" ht="45.95" customHeight="1">
      <c r="A22" s="62" t="s">
        <v>1091</v>
      </c>
      <c r="B22" s="62" t="s">
        <v>817</v>
      </c>
      <c r="C22" s="62" t="s">
        <v>818</v>
      </c>
      <c r="D22" s="62"/>
      <c r="E22" s="62" t="s">
        <v>827</v>
      </c>
      <c r="F22" s="62" t="s">
        <v>818</v>
      </c>
      <c r="G22" s="62" t="s">
        <v>124</v>
      </c>
      <c r="H22" s="62" t="s">
        <v>529</v>
      </c>
      <c r="I22" s="62" t="s">
        <v>819</v>
      </c>
      <c r="J22" s="62" t="s">
        <v>338</v>
      </c>
      <c r="K22" s="62" t="s">
        <v>814</v>
      </c>
      <c r="L22" s="62"/>
      <c r="M22" s="62" t="s">
        <v>1092</v>
      </c>
      <c r="N22" s="63"/>
      <c r="O22" s="62" t="s">
        <v>1086</v>
      </c>
      <c r="P22" s="63">
        <v>46250.666666666664</v>
      </c>
      <c r="Q22" s="62" t="s">
        <v>125</v>
      </c>
      <c r="R22" s="62" t="s">
        <v>595</v>
      </c>
      <c r="S22" s="62" t="s">
        <v>1093</v>
      </c>
    </row>
    <row r="23" spans="1:19" ht="45.95" customHeight="1">
      <c r="A23" s="62" t="s">
        <v>1094</v>
      </c>
      <c r="B23" s="62" t="s">
        <v>817</v>
      </c>
      <c r="C23" s="62" t="s">
        <v>818</v>
      </c>
      <c r="D23" s="62"/>
      <c r="E23" s="62" t="s">
        <v>827</v>
      </c>
      <c r="F23" s="62" t="s">
        <v>818</v>
      </c>
      <c r="G23" s="62" t="s">
        <v>126</v>
      </c>
      <c r="H23" s="62" t="s">
        <v>532</v>
      </c>
      <c r="I23" s="62" t="s">
        <v>836</v>
      </c>
      <c r="J23" s="62" t="s">
        <v>368</v>
      </c>
      <c r="K23" s="62" t="s">
        <v>814</v>
      </c>
      <c r="L23" s="62"/>
      <c r="M23" s="62" t="s">
        <v>970</v>
      </c>
      <c r="N23" s="63"/>
      <c r="O23" s="62"/>
      <c r="P23" s="63">
        <v>46250.666666666664</v>
      </c>
      <c r="Q23" s="62" t="s">
        <v>127</v>
      </c>
      <c r="R23" s="62" t="s">
        <v>128</v>
      </c>
      <c r="S23" s="62" t="s">
        <v>1095</v>
      </c>
    </row>
    <row r="24" spans="1:19" ht="45.95" customHeight="1">
      <c r="A24" s="62" t="s">
        <v>1096</v>
      </c>
      <c r="B24" s="62" t="s">
        <v>817</v>
      </c>
      <c r="C24" s="62" t="s">
        <v>818</v>
      </c>
      <c r="D24" s="62"/>
      <c r="E24" s="62" t="s">
        <v>827</v>
      </c>
      <c r="F24" s="62" t="s">
        <v>818</v>
      </c>
      <c r="G24" s="62" t="s">
        <v>129</v>
      </c>
      <c r="H24" s="62" t="s">
        <v>529</v>
      </c>
      <c r="I24" s="62" t="s">
        <v>819</v>
      </c>
      <c r="J24" s="62" t="s">
        <v>338</v>
      </c>
      <c r="K24" s="62" t="s">
        <v>814</v>
      </c>
      <c r="L24" s="62"/>
      <c r="M24" s="62" t="s">
        <v>1097</v>
      </c>
      <c r="N24" s="63"/>
      <c r="O24" s="62"/>
      <c r="P24" s="63">
        <v>46250.666666666664</v>
      </c>
      <c r="Q24" s="62" t="s">
        <v>130</v>
      </c>
      <c r="R24" s="62" t="s">
        <v>596</v>
      </c>
      <c r="S24" s="62" t="s">
        <v>1098</v>
      </c>
    </row>
    <row r="25" spans="1:19" ht="45.95" customHeight="1">
      <c r="A25" s="62" t="s">
        <v>1099</v>
      </c>
      <c r="B25" s="62" t="s">
        <v>817</v>
      </c>
      <c r="C25" s="62" t="s">
        <v>818</v>
      </c>
      <c r="D25" s="62" t="s">
        <v>810</v>
      </c>
      <c r="E25" s="62" t="s">
        <v>827</v>
      </c>
      <c r="F25" s="62" t="s">
        <v>818</v>
      </c>
      <c r="G25" s="62" t="s">
        <v>131</v>
      </c>
      <c r="H25" s="62" t="s">
        <v>529</v>
      </c>
      <c r="I25" s="62" t="s">
        <v>807</v>
      </c>
      <c r="J25" s="62" t="s">
        <v>338</v>
      </c>
      <c r="K25" s="62" t="s">
        <v>814</v>
      </c>
      <c r="L25" s="62"/>
      <c r="M25" s="62" t="s">
        <v>1100</v>
      </c>
      <c r="N25" s="63"/>
      <c r="O25" s="62" t="s">
        <v>966</v>
      </c>
      <c r="P25" s="63">
        <v>46250.666666666664</v>
      </c>
      <c r="Q25" s="62" t="s">
        <v>132</v>
      </c>
      <c r="R25" s="62" t="s">
        <v>597</v>
      </c>
      <c r="S25" s="62" t="s">
        <v>1101</v>
      </c>
    </row>
    <row r="26" spans="1:19" ht="45.95" customHeight="1">
      <c r="A26" s="62" t="s">
        <v>1102</v>
      </c>
      <c r="B26" s="62" t="s">
        <v>817</v>
      </c>
      <c r="C26" s="62" t="s">
        <v>818</v>
      </c>
      <c r="D26" s="62"/>
      <c r="E26" s="62" t="s">
        <v>827</v>
      </c>
      <c r="F26" s="62" t="s">
        <v>818</v>
      </c>
      <c r="G26" s="62" t="s">
        <v>133</v>
      </c>
      <c r="H26" s="62" t="s">
        <v>532</v>
      </c>
      <c r="I26" s="62" t="s">
        <v>836</v>
      </c>
      <c r="J26" s="62" t="s">
        <v>368</v>
      </c>
      <c r="K26" s="62" t="s">
        <v>814</v>
      </c>
      <c r="L26" s="62"/>
      <c r="M26" s="62" t="s">
        <v>970</v>
      </c>
      <c r="N26" s="63"/>
      <c r="O26" s="62"/>
      <c r="P26" s="63">
        <v>46250.666666666664</v>
      </c>
      <c r="Q26" s="62" t="s">
        <v>134</v>
      </c>
      <c r="R26" s="62" t="s">
        <v>135</v>
      </c>
      <c r="S26" s="62" t="s">
        <v>1103</v>
      </c>
    </row>
    <row r="27" spans="1:19" ht="45.95" customHeight="1">
      <c r="A27" s="62" t="s">
        <v>1354</v>
      </c>
      <c r="B27" s="62" t="s">
        <v>817</v>
      </c>
      <c r="C27" s="62" t="s">
        <v>818</v>
      </c>
      <c r="D27" s="62"/>
      <c r="E27" s="62" t="s">
        <v>827</v>
      </c>
      <c r="F27" s="62" t="s">
        <v>818</v>
      </c>
      <c r="G27" s="62" t="s">
        <v>671</v>
      </c>
      <c r="H27" s="62" t="s">
        <v>532</v>
      </c>
      <c r="I27" s="62" t="s">
        <v>836</v>
      </c>
      <c r="J27" s="62" t="s">
        <v>338</v>
      </c>
      <c r="K27" s="62" t="s">
        <v>814</v>
      </c>
      <c r="L27" s="62"/>
      <c r="M27" s="62" t="str">
        <v>Select SES/Resend for the hosted account flow after checking adult-business fit, cost and data handling; configure/test production delivery. PLAN.md §20.</v>
      </c>
      <c r="N27" s="63"/>
      <c r="O27" s="62" t="str">
        <v>Founder approval in chat, Sept 13; PLAN.md §20, Question 15.</v>
      </c>
      <c r="P27" s="63" t="n">
        <v>46278</v>
      </c>
      <c r="Q27" s="62" t="s">
        <v>672</v>
      </c>
      <c r="R27" s="62" t="str">
        <v>Q15 approved. Workspace Business aliases created; setup/tests pending. SES/Resend unselected. SMTP/console and Mailpit implemented; production TLS, SPF/DKIM/DMARC, deliverability and bounce handling pending.</v>
      </c>
      <c r="S27" s="62" t="s">
        <v>1355</v>
      </c>
    </row>
    <row r="28" spans="1:19" ht="45.95" customHeight="1">
      <c r="A28" s="62" t="s">
        <v>1368</v>
      </c>
      <c r="B28" s="62" t="s">
        <v>817</v>
      </c>
      <c r="C28" s="62" t="s">
        <v>818</v>
      </c>
      <c r="D28" s="62"/>
      <c r="E28" s="62" t="s">
        <v>827</v>
      </c>
      <c r="F28" s="62" t="s">
        <v>818</v>
      </c>
      <c r="G28" s="62" t="s">
        <v>683</v>
      </c>
      <c r="H28" s="62" t="s">
        <v>529</v>
      </c>
      <c r="I28" s="62" t="s">
        <v>813</v>
      </c>
      <c r="J28" s="62" t="s">
        <v>338</v>
      </c>
      <c r="K28" s="62" t="s">
        <v>814</v>
      </c>
      <c r="L28" s="62"/>
      <c r="M28" s="62" t="s">
        <v>1369</v>
      </c>
      <c r="N28" s="63"/>
      <c r="O28" s="62"/>
      <c r="P28" s="63">
        <v>46250.666666666664</v>
      </c>
      <c r="Q28" s="62" t="s">
        <v>684</v>
      </c>
      <c r="R28" s="62" t="s">
        <v>685</v>
      </c>
      <c r="S28" s="62" t="s">
        <v>1370</v>
      </c>
    </row>
    <row r="29" spans="1:19" ht="45.95" customHeight="1">
      <c r="A29" s="62" t="s">
        <v>1390</v>
      </c>
      <c r="B29" s="62" t="s">
        <v>817</v>
      </c>
      <c r="C29" s="62" t="s">
        <v>818</v>
      </c>
      <c r="D29" s="62"/>
      <c r="E29" s="62" t="s">
        <v>809</v>
      </c>
      <c r="F29" s="62" t="s">
        <v>1391</v>
      </c>
      <c r="G29" s="62" t="s">
        <v>1392</v>
      </c>
      <c r="H29" s="62" t="s">
        <v>528</v>
      </c>
      <c r="I29" s="62" t="s">
        <v>819</v>
      </c>
      <c r="J29" s="62" t="s">
        <v>368</v>
      </c>
      <c r="K29" s="62" t="s">
        <v>814</v>
      </c>
      <c r="L29" s="62"/>
      <c r="M29" s="62" t="s">
        <v>1393</v>
      </c>
      <c r="N29" s="63"/>
      <c r="O29" s="62" t="s">
        <v>889</v>
      </c>
      <c r="P29" s="63">
        <v>46255.666666666664</v>
      </c>
      <c r="Q29" s="62" t="s">
        <v>1394</v>
      </c>
      <c r="R29" s="62" t="s">
        <v>1395</v>
      </c>
      <c r="S29" s="62" t="s">
        <v>1396</v>
      </c>
    </row>
    <row r="30" spans="1:19" ht="45.95" customHeight="1">
      <c r="A30" s="62" t="s">
        <v>1397</v>
      </c>
      <c r="B30" s="62" t="s">
        <v>817</v>
      </c>
      <c r="C30" s="62" t="s">
        <v>818</v>
      </c>
      <c r="D30" s="62" t="s">
        <v>855</v>
      </c>
      <c r="E30" s="62" t="s">
        <v>821</v>
      </c>
      <c r="F30" s="62" t="s">
        <v>1391</v>
      </c>
      <c r="G30" s="62" t="s">
        <v>1398</v>
      </c>
      <c r="H30" s="62" t="s">
        <v>528</v>
      </c>
      <c r="I30" s="62" t="s">
        <v>819</v>
      </c>
      <c r="J30" s="62" t="s">
        <v>368</v>
      </c>
      <c r="K30" s="62" t="s">
        <v>814</v>
      </c>
      <c r="L30" s="62"/>
      <c r="M30" s="62" t="s">
        <v>1399</v>
      </c>
      <c r="N30" s="63"/>
      <c r="O30" s="62" t="s">
        <v>889</v>
      </c>
      <c r="P30" s="63">
        <v>46255.666666666664</v>
      </c>
      <c r="Q30" s="62" t="s">
        <v>1400</v>
      </c>
      <c r="R30" s="62" t="s">
        <v>1401</v>
      </c>
      <c r="S30" s="62" t="s">
        <v>1402</v>
      </c>
    </row>
    <row r="31" spans="1:19" ht="45.95" customHeight="1">
      <c r="A31" s="62" t="s">
        <v>1403</v>
      </c>
      <c r="B31" s="62" t="s">
        <v>817</v>
      </c>
      <c r="C31" s="62" t="s">
        <v>818</v>
      </c>
      <c r="D31" s="62"/>
      <c r="E31" s="62" t="s">
        <v>809</v>
      </c>
      <c r="F31" s="62" t="s">
        <v>1404</v>
      </c>
      <c r="G31" s="62" t="s">
        <v>1405</v>
      </c>
      <c r="H31" s="62" t="s">
        <v>532</v>
      </c>
      <c r="I31" s="62" t="s">
        <v>807</v>
      </c>
      <c r="J31" s="62" t="s">
        <v>368</v>
      </c>
      <c r="K31" s="62" t="s">
        <v>814</v>
      </c>
      <c r="L31" s="62" t="s">
        <v>1406</v>
      </c>
      <c r="M31" s="62" t="s">
        <v>1407</v>
      </c>
      <c r="N31" s="63"/>
      <c r="O31" s="62" t="s">
        <v>1408</v>
      </c>
      <c r="P31" s="63">
        <v>46255.666666666664</v>
      </c>
      <c r="Q31" s="62" t="s">
        <v>1409</v>
      </c>
      <c r="R31" s="62" t="s">
        <v>1410</v>
      </c>
      <c r="S31" s="62" t="s">
        <v>1411</v>
      </c>
    </row>
    <row r="32" spans="1:19" ht="45.95" customHeight="1">
      <c r="A32" s="62" t="s">
        <v>1412</v>
      </c>
      <c r="B32" s="62" t="s">
        <v>817</v>
      </c>
      <c r="C32" s="62" t="s">
        <v>818</v>
      </c>
      <c r="D32" s="62" t="s">
        <v>823</v>
      </c>
      <c r="E32" s="62" t="s">
        <v>821</v>
      </c>
      <c r="F32" s="62" t="s">
        <v>1413</v>
      </c>
      <c r="G32" s="62" t="s">
        <v>1414</v>
      </c>
      <c r="H32" s="62" t="s">
        <v>532</v>
      </c>
      <c r="I32" s="62" t="s">
        <v>807</v>
      </c>
      <c r="J32" s="62" t="s">
        <v>368</v>
      </c>
      <c r="K32" s="62" t="s">
        <v>814</v>
      </c>
      <c r="L32" s="62" t="s">
        <v>1415</v>
      </c>
      <c r="M32" s="62" t="s">
        <v>1416</v>
      </c>
      <c r="N32" s="63"/>
      <c r="O32" s="62" t="s">
        <v>1408</v>
      </c>
      <c r="P32" s="63">
        <v>46255.666666666664</v>
      </c>
      <c r="Q32" s="62" t="s">
        <v>1417</v>
      </c>
      <c r="R32" s="62" t="s">
        <v>1418</v>
      </c>
      <c r="S32" s="62" t="s">
        <v>1419</v>
      </c>
    </row>
    <row r="33" spans="1:19" ht="45.95" customHeight="1">
      <c r="A33" s="62" t="s">
        <v>1420</v>
      </c>
      <c r="B33" s="62" t="s">
        <v>817</v>
      </c>
      <c r="C33" s="62" t="s">
        <v>818</v>
      </c>
      <c r="D33" s="62"/>
      <c r="E33" s="62" t="s">
        <v>821</v>
      </c>
      <c r="F33" s="62" t="s">
        <v>1421</v>
      </c>
      <c r="G33" s="62" t="s">
        <v>1422</v>
      </c>
      <c r="H33" s="62" t="s">
        <v>528</v>
      </c>
      <c r="I33" s="62" t="s">
        <v>819</v>
      </c>
      <c r="J33" s="62" t="s">
        <v>368</v>
      </c>
      <c r="K33" s="62" t="s">
        <v>814</v>
      </c>
      <c r="L33" s="62"/>
      <c r="M33" s="62" t="s">
        <v>1423</v>
      </c>
      <c r="N33" s="63"/>
      <c r="O33" s="62" t="s">
        <v>889</v>
      </c>
      <c r="P33" s="63">
        <v>46255.666666666664</v>
      </c>
      <c r="Q33" s="62" t="s">
        <v>1424</v>
      </c>
      <c r="R33" s="62" t="s">
        <v>1425</v>
      </c>
      <c r="S33" s="62" t="s">
        <v>1426</v>
      </c>
    </row>
    <row r="34" spans="1:19" ht="45.95" customHeight="1">
      <c r="A34" s="62" t="s">
        <v>1104</v>
      </c>
      <c r="B34" s="62" t="s">
        <v>823</v>
      </c>
      <c r="C34" s="62" t="s">
        <v>824</v>
      </c>
      <c r="D34" s="62"/>
      <c r="E34" s="62" t="s">
        <v>827</v>
      </c>
      <c r="F34" s="62" t="s">
        <v>824</v>
      </c>
      <c r="G34" s="62" t="s">
        <v>137</v>
      </c>
      <c r="H34" s="62" t="s">
        <v>528</v>
      </c>
      <c r="I34" s="62" t="s">
        <v>825</v>
      </c>
      <c r="J34" s="62" t="s">
        <v>350</v>
      </c>
      <c r="K34" s="62" t="s">
        <v>814</v>
      </c>
      <c r="L34" s="62"/>
      <c r="M34" s="62" t="s">
        <v>959</v>
      </c>
      <c r="N34" s="63"/>
      <c r="O34" s="62"/>
      <c r="P34" s="63">
        <v>46250.666666666664</v>
      </c>
      <c r="Q34" s="62" t="s">
        <v>138</v>
      </c>
      <c r="R34" s="62" t="s">
        <v>598</v>
      </c>
      <c r="S34" s="62" t="s">
        <v>1105</v>
      </c>
    </row>
    <row r="35" spans="1:19" ht="45.95" customHeight="1">
      <c r="A35" s="62" t="s">
        <v>1106</v>
      </c>
      <c r="B35" s="62" t="s">
        <v>823</v>
      </c>
      <c r="C35" s="62" t="s">
        <v>824</v>
      </c>
      <c r="D35" s="62"/>
      <c r="E35" s="62" t="s">
        <v>827</v>
      </c>
      <c r="F35" s="62" t="s">
        <v>824</v>
      </c>
      <c r="G35" s="62" t="s">
        <v>139</v>
      </c>
      <c r="H35" s="62" t="s">
        <v>528</v>
      </c>
      <c r="I35" s="62" t="s">
        <v>825</v>
      </c>
      <c r="J35" s="62" t="s">
        <v>350</v>
      </c>
      <c r="K35" s="62" t="s">
        <v>814</v>
      </c>
      <c r="L35" s="62"/>
      <c r="M35" s="62" t="s">
        <v>959</v>
      </c>
      <c r="N35" s="63"/>
      <c r="O35" s="62"/>
      <c r="P35" s="63">
        <v>46250.666666666664</v>
      </c>
      <c r="Q35" s="62" t="s">
        <v>140</v>
      </c>
      <c r="R35" s="62" t="s">
        <v>599</v>
      </c>
      <c r="S35" s="62" t="s">
        <v>1107</v>
      </c>
    </row>
    <row r="36" spans="1:19" ht="45.95" customHeight="1">
      <c r="A36" s="62" t="s">
        <v>1108</v>
      </c>
      <c r="B36" s="62" t="s">
        <v>823</v>
      </c>
      <c r="C36" s="62" t="s">
        <v>824</v>
      </c>
      <c r="D36" s="62"/>
      <c r="E36" s="62" t="s">
        <v>827</v>
      </c>
      <c r="F36" s="62" t="s">
        <v>824</v>
      </c>
      <c r="G36" s="62" t="s">
        <v>141</v>
      </c>
      <c r="H36" s="62" t="s">
        <v>528</v>
      </c>
      <c r="I36" s="62" t="s">
        <v>825</v>
      </c>
      <c r="J36" s="62" t="s">
        <v>350</v>
      </c>
      <c r="K36" s="62" t="s">
        <v>814</v>
      </c>
      <c r="L36" s="62"/>
      <c r="M36" s="62" t="s">
        <v>959</v>
      </c>
      <c r="N36" s="63"/>
      <c r="O36" s="62"/>
      <c r="P36" s="63">
        <v>46250.666666666664</v>
      </c>
      <c r="Q36" s="62" t="s">
        <v>142</v>
      </c>
      <c r="R36" s="62" t="s">
        <v>600</v>
      </c>
      <c r="S36" s="62" t="s">
        <v>1109</v>
      </c>
    </row>
    <row r="37" spans="1:19" ht="45.95" customHeight="1">
      <c r="A37" s="62" t="s">
        <v>1116</v>
      </c>
      <c r="B37" s="62" t="s">
        <v>823</v>
      </c>
      <c r="C37" s="62" t="s">
        <v>824</v>
      </c>
      <c r="D37" s="62"/>
      <c r="E37" s="62" t="s">
        <v>827</v>
      </c>
      <c r="F37" s="62" t="s">
        <v>824</v>
      </c>
      <c r="G37" s="62" t="s">
        <v>147</v>
      </c>
      <c r="H37" s="62" t="s">
        <v>528</v>
      </c>
      <c r="I37" s="62" t="s">
        <v>825</v>
      </c>
      <c r="J37" s="62" t="s">
        <v>350</v>
      </c>
      <c r="K37" s="62" t="s">
        <v>814</v>
      </c>
      <c r="L37" s="62"/>
      <c r="M37" s="62" t="s">
        <v>959</v>
      </c>
      <c r="N37" s="63"/>
      <c r="O37" s="62"/>
      <c r="P37" s="63">
        <v>46250.666666666664</v>
      </c>
      <c r="Q37" s="62" t="s">
        <v>148</v>
      </c>
      <c r="R37" s="62" t="s">
        <v>603</v>
      </c>
      <c r="S37" s="62" t="s">
        <v>1117</v>
      </c>
    </row>
    <row r="38" spans="1:19" ht="45.95" customHeight="1">
      <c r="A38" s="62" t="s">
        <v>1118</v>
      </c>
      <c r="B38" s="62" t="s">
        <v>823</v>
      </c>
      <c r="C38" s="62" t="s">
        <v>824</v>
      </c>
      <c r="D38" s="62"/>
      <c r="E38" s="62" t="s">
        <v>827</v>
      </c>
      <c r="F38" s="62" t="s">
        <v>824</v>
      </c>
      <c r="G38" s="62" t="s">
        <v>149</v>
      </c>
      <c r="H38" s="62" t="s">
        <v>528</v>
      </c>
      <c r="I38" s="62" t="s">
        <v>807</v>
      </c>
      <c r="J38" s="62" t="s">
        <v>350</v>
      </c>
      <c r="K38" s="62" t="s">
        <v>814</v>
      </c>
      <c r="L38" s="62"/>
      <c r="M38" s="62" t="s">
        <v>959</v>
      </c>
      <c r="N38" s="63"/>
      <c r="O38" s="62"/>
      <c r="P38" s="63">
        <v>46250.666666666664</v>
      </c>
      <c r="Q38" s="62" t="s">
        <v>150</v>
      </c>
      <c r="R38" s="62" t="s">
        <v>604</v>
      </c>
      <c r="S38" s="62" t="s">
        <v>1119</v>
      </c>
    </row>
    <row r="39" spans="1:19" ht="45.95" customHeight="1">
      <c r="A39" s="62" t="s">
        <v>1133</v>
      </c>
      <c r="B39" s="62" t="s">
        <v>823</v>
      </c>
      <c r="C39" s="62" t="s">
        <v>824</v>
      </c>
      <c r="D39" s="62"/>
      <c r="E39" s="62" t="s">
        <v>827</v>
      </c>
      <c r="F39" s="62" t="s">
        <v>824</v>
      </c>
      <c r="G39" s="62" t="s">
        <v>167</v>
      </c>
      <c r="H39" s="62" t="s">
        <v>528</v>
      </c>
      <c r="I39" s="62" t="s">
        <v>825</v>
      </c>
      <c r="J39" s="62" t="s">
        <v>350</v>
      </c>
      <c r="K39" s="62" t="s">
        <v>814</v>
      </c>
      <c r="L39" s="62"/>
      <c r="M39" s="62" t="s">
        <v>959</v>
      </c>
      <c r="N39" s="63"/>
      <c r="O39" s="62"/>
      <c r="P39" s="63">
        <v>46250.666666666664</v>
      </c>
      <c r="Q39" s="62" t="s">
        <v>168</v>
      </c>
      <c r="R39" s="62" t="s">
        <v>605</v>
      </c>
      <c r="S39" s="62" t="s">
        <v>1134</v>
      </c>
    </row>
    <row r="40" spans="1:19" ht="45.95" customHeight="1">
      <c r="A40" s="62" t="s">
        <v>1154</v>
      </c>
      <c r="B40" s="62" t="s">
        <v>823</v>
      </c>
      <c r="C40" s="62" t="s">
        <v>824</v>
      </c>
      <c r="D40" s="62" t="s">
        <v>1155</v>
      </c>
      <c r="E40" s="62" t="s">
        <v>827</v>
      </c>
      <c r="F40" s="62" t="s">
        <v>824</v>
      </c>
      <c r="G40" s="62" t="s">
        <v>180</v>
      </c>
      <c r="H40" s="62" t="s">
        <v>529</v>
      </c>
      <c r="I40" s="62" t="s">
        <v>819</v>
      </c>
      <c r="J40" s="62" t="s">
        <v>338</v>
      </c>
      <c r="K40" s="62" t="s">
        <v>814</v>
      </c>
      <c r="L40" s="62"/>
      <c r="M40" s="62" t="s">
        <v>1156</v>
      </c>
      <c r="N40" s="63"/>
      <c r="O40" s="62"/>
      <c r="P40" s="63">
        <v>46250.666666666664</v>
      </c>
      <c r="Q40" s="62" t="s">
        <v>612</v>
      </c>
      <c r="R40" s="62" t="s">
        <v>613</v>
      </c>
      <c r="S40" s="62" t="s">
        <v>1157</v>
      </c>
    </row>
    <row r="41" spans="1:19" ht="104" customHeight="1">
      <c r="A41" s="62" t="s">
        <v>1158</v>
      </c>
      <c r="B41" s="62" t="s">
        <v>823</v>
      </c>
      <c r="C41" s="62" t="s">
        <v>824</v>
      </c>
      <c r="D41" s="62" t="inlineStr">
        <is>
          <t xml:space="preserve">P01, P04, P05, P06, P07, P08, P09</t>
        </is>
      </c>
      <c r="E41" s="62" t="s">
        <v>827</v>
      </c>
      <c r="F41" s="62" t="s">
        <v>824</v>
      </c>
      <c r="G41" s="62" t="inlineStr">
        <is>
          <t xml:space="preserve">Build Settings + Privacy &amp; Safety overview</t>
        </is>
      </c>
      <c r="H41" s="62" t="s">
        <v>529</v>
      </c>
      <c r="I41" s="62" t="s">
        <v>819</v>
      </c>
      <c r="J41" s="62" t="s">
        <v>368</v>
      </c>
      <c r="K41" s="62" t="s">
        <v>814</v>
      </c>
      <c r="L41" s="62"/>
      <c r="M41" s="62" t="inlineStr">
        <is>
          <t xml:space="preserve">Add the Privacy &amp; Safety overview with the relevant product slices: privacy/interaction controls in P08/P09; blocked regions and watermarking with P04/P05. Link watermark delivery to LEG-MT-091. Preserve the completed P03 core scope.</t>
        </is>
      </c>
      <c r="N41" s="63"/>
      <c r="O41" s="62" t="inlineStr">
        <is>
          <t xml:space="preserve">https://loyalfans.zendesk.com/hc/en-us/articles/10063706834460-Settings-Privacy-And-Safety-Overview</t>
        </is>
      </c>
      <c r="P41" s="63">
        <v>46275</v>
      </c>
      <c r="Q41" s="62" t="inlineStr">
        <is>
          <t xml:space="preserve">Settings: account, password, notifications, themes, explicit-content preference and billing. Add a Privacy &amp; Safety overview with Account Privacy, Blocked Regions and Watermark sections: follower-count visibility, mentions/tags and creator interaction permissions; searchable country/state blocking with removal; separate photo/video watermark controls. Evaluate creator friend requests only if that feature is in scope.</t>
        </is>
      </c>
      <c r="R41" s="62" t="inlineStr">
        <is>
          <t xml:space="preserve">Core protected Settings and browser-local themes work; later account sync, notifications/billing, export and deletion remain pending. September 10: Privacy &amp; Safety overview added; implementation not started. LoyalFans reference reviewed. Preserve explicit content hidden by default; its sensitive-posting default is not Pumdoki's viewing preference. Persist and enforce controls server-side; explain geoblocking limits and verify watermark behavior before claiming protection.</t>
        </is>
      </c>
      <c r="S41" s="62" t="s">
        <v>1161</v>
      </c>
    </row>
    <row r="42" spans="1:19" ht="45.95" customHeight="1">
      <c r="A42" s="62" t="s">
        <v>972</v>
      </c>
      <c r="B42" s="62" t="s">
        <v>829</v>
      </c>
      <c r="C42" s="62" t="s">
        <v>830</v>
      </c>
      <c r="D42" s="62"/>
      <c r="E42" s="62" t="s">
        <v>827</v>
      </c>
      <c r="F42" s="62" t="s">
        <v>973</v>
      </c>
      <c r="G42" s="62" t="s">
        <v>24</v>
      </c>
      <c r="H42" s="124" t="s">
        <v>529</v>
      </c>
      <c r="I42" s="62" t="s">
        <v>836</v>
      </c>
      <c r="J42" s="62" t="s">
        <v>698</v>
      </c>
      <c r="K42" s="62" t="s">
        <v>808</v>
      </c>
      <c r="L42" s="62"/>
      <c r="M42" s="62" t="str">
        <v>Review approved answers in PLAN.md §20, including Q34's 60 days and Q35 venue exceptions. Obtain Q33 arbitration advice; finalize legal copy and live workflows. Plus deferred.</v>
      </c>
      <c r="N42" s="63"/>
      <c r="O42" s="62" t="str">
        <v>Founder approvals Sept 13–16; PLAN.md §20 Q21/Q27/Q30/Q32/Q33/Q34/Q35 and Plus note; apps/web/src/pages/RefundHelpPage.jsx (draft UI).</v>
      </c>
      <c r="P42" s="63" t="n">
        <v>46281</v>
      </c>
      <c r="Q42" s="62" t="s">
        <v>25</v>
      </c>
      <c r="R42" s="62" t="str">
        <v>Suzanne's $1,100 bundle awaits review. Q34: 60 days; Q35: Maryland with rights exceptions. Q33 provider undecided. Plus deferred; refund UI draft. AUP/final notices and live workflows remain pending.</v>
      </c>
      <c r="S42" s="62" t="s">
        <v>976</v>
      </c>
    </row>
    <row r="43" spans="1:19" ht="45.95" customHeight="1">
      <c r="A43" s="62" t="s">
        <v>977</v>
      </c>
      <c r="B43" s="62" t="s">
        <v>829</v>
      </c>
      <c r="C43" s="62" t="s">
        <v>830</v>
      </c>
      <c r="D43" s="62"/>
      <c r="E43" s="62" t="s">
        <v>827</v>
      </c>
      <c r="F43" s="62" t="s">
        <v>973</v>
      </c>
      <c r="G43" s="62" t="s">
        <v>28</v>
      </c>
      <c r="H43" s="62" t="s">
        <v>529</v>
      </c>
      <c r="I43" s="62" t="s">
        <v>836</v>
      </c>
      <c r="J43" s="62" t="s">
        <v>338</v>
      </c>
      <c r="K43" s="62" t="s">
        <v>808</v>
      </c>
      <c r="L43" s="62"/>
      <c r="M43" s="62" t="str">
        <v>Apply Q50 to actual launch processing. Confirm Q51 vendor retention terms and implement Q46-48 controls after final review. Test mailbox routing and the restricted request log. PLAN.md §20.</v>
      </c>
      <c r="N43" s="63"/>
      <c r="O43" s="62" t="str">
        <v>Founder approval Sept 16, PLAN.md §20 Q50. EDPB territorial-scope and ICO transfer guidance linked there. Q51 pending retained.</v>
      </c>
      <c r="P43" s="63" t="n">
        <v>46286</v>
      </c>
      <c r="Q43" s="62" t="s">
        <v>29</v>
      </c>
      <c r="R43" s="62" t="str">
        <v>Q50: draft for international creators/members. EU/UK provisions apply to covered processing, not nationality alone. Required controls precede processing. Vendor terms, implementation and review pending.</v>
      </c>
      <c r="S43" s="62" t="s">
        <v>979</v>
      </c>
    </row>
    <row r="44" spans="1:19" ht="45.95" customHeight="1">
      <c r="A44" s="62" t="s">
        <v>980</v>
      </c>
      <c r="B44" s="62" t="s">
        <v>829</v>
      </c>
      <c r="C44" s="62" t="s">
        <v>830</v>
      </c>
      <c r="D44" s="62"/>
      <c r="E44" s="62" t="s">
        <v>827</v>
      </c>
      <c r="F44" s="62" t="s">
        <v>973</v>
      </c>
      <c r="G44" s="62" t="s">
        <v>31</v>
      </c>
      <c r="H44" s="62" t="s">
        <v>529</v>
      </c>
      <c r="I44" s="62" t="str">
        <v>N/A</v>
      </c>
      <c r="J44" s="62" t="s">
        <v>368</v>
      </c>
      <c r="K44" s="62" t="s">
        <v>808</v>
      </c>
      <c r="L44" s="62"/>
      <c r="M44" s="62" t="str">
        <v>Finalize Community Rules from Q65-75 and implement enforcement before launch. Active founder review is under LEG-MT-015; no parallel founder task. PLAN.md §20.</v>
      </c>
      <c r="N44" s="63"/>
      <c r="O44" s="62" t="str">
        <v>Founder approval Sept 21, PLAN.md §20 Q75; Q74 retained as launch scope. Immediate-removal rules align with Q62-64, including review, preservation, notice and appeals.</v>
      </c>
      <c r="P44" s="63" t="n">
        <v>46286</v>
      </c>
      <c r="Q44" s="62" t="s">
        <v>32</v>
      </c>
      <c r="R44" s="62" t="str">
        <v>Q75: substantiated serious violations may mean immediate termination; urgent removal/suspension pending review. Reports alone do not justify permanent bans. Final policy and controls pending.</v>
      </c>
      <c r="S44" s="62" t="s">
        <v>982</v>
      </c>
    </row>
    <row r="45" spans="1:19" ht="45.95" customHeight="1">
      <c r="A45" s="62" t="s">
        <v>983</v>
      </c>
      <c r="B45" s="62" t="s">
        <v>829</v>
      </c>
      <c r="C45" s="62" t="s">
        <v>830</v>
      </c>
      <c r="D45" s="62"/>
      <c r="E45" s="62" t="s">
        <v>827</v>
      </c>
      <c r="F45" s="62" t="s">
        <v>973</v>
      </c>
      <c r="G45" s="62" t="s">
        <v>34</v>
      </c>
      <c r="H45" s="62" t="s">
        <v>529</v>
      </c>
      <c r="I45" s="62" t="s">
        <v>836</v>
      </c>
      <c r="J45" s="62" t="s">
        <v>368</v>
      </c>
      <c r="K45" s="62" t="s">
        <v>808</v>
      </c>
      <c r="L45" s="62" t="s">
        <v>984</v>
      </c>
      <c r="M45" s="62" t="str">
        <v>Finalize AUP from Q53-64 decisions and review processor requirements; implement reporting, evidence preservation, moderation, notices and appeals before live use. Community review: LEG-MT-013.</v>
      </c>
      <c r="N45" s="63"/>
      <c r="O45" s="62" t="str">
        <v>Founder approval Sept 21, PLAN.md §20 Q64; 18 USC 2258A/2702 and NCMEC REPORT Act guidance. Prior content/enforcement decisions retained.</v>
      </c>
      <c r="P45" s="63" t="n">
        <v>46286</v>
      </c>
      <c r="Q45" s="62" t="s">
        <v>35</v>
      </c>
      <c r="R45" s="62" t="str">
        <v>Q64: report apparent CSAM, child trafficking/enticement; emergency escalation and lawful disclosures. Secure evidence; covered CyberTipline material: one year from report. Setup/controls pending.</v>
      </c>
      <c r="S45" s="62" t="s">
        <v>986</v>
      </c>
    </row>
    <row r="46" spans="1:19" ht="45.95" customHeight="1">
      <c r="A46" s="62" t="s">
        <v>987</v>
      </c>
      <c r="B46" s="62" t="s">
        <v>829</v>
      </c>
      <c r="C46" s="62" t="s">
        <v>830</v>
      </c>
      <c r="D46" s="62"/>
      <c r="E46" s="62" t="s">
        <v>827</v>
      </c>
      <c r="F46" s="62" t="s">
        <v>973</v>
      </c>
      <c r="G46" s="62" t="s">
        <v>37</v>
      </c>
      <c r="H46" s="62" t="s">
        <v>529</v>
      </c>
      <c r="I46" s="62" t="str">
        <v>N/A</v>
      </c>
      <c r="J46" s="62" t="s">
        <v>368</v>
      </c>
      <c r="K46" s="62" t="s">
        <v>808</v>
      </c>
      <c r="L46" s="62"/>
      <c r="M46" s="62" t="str">
        <v>Finalize DMCA policy and case controls; complete contact setup, Q77 mail confirmation and registration before launch. Active founder review: LEG-MT-028. PLAN.md §20.</v>
      </c>
      <c r="N46" s="63"/>
      <c r="O46" s="62" t="str">
        <v>Founder approval Sept 21, PLAN.md §20 Q84-85: case-based enforcement, prompt notices and normal warnings; no fixed strike/warning allowance. Final policy and controls pending.</v>
      </c>
      <c r="P46" s="63" t="n">
        <v>46286</v>
      </c>
      <c r="Q46" s="62" t="s">
        <v>38</v>
      </c>
      <c r="R46" s="62" t="str">
        <v>Founder: "Copyright Agent"; LLC provider; Pumdoki/pumdoki.com alternate names; dmca@pumdoki.com planned. Northwest phone selected; number/setup/testing and mail receipt unverified. Registration pending.</v>
      </c>
      <c r="S46" s="62" t="s">
        <v>989</v>
      </c>
    </row>
    <row r="47" spans="1:19" ht="45.95" customHeight="1">
      <c r="A47" s="62" t="s">
        <v>990</v>
      </c>
      <c r="B47" s="62" t="s">
        <v>829</v>
      </c>
      <c r="C47" s="62" t="s">
        <v>830</v>
      </c>
      <c r="D47" s="62"/>
      <c r="E47" s="62" t="s">
        <v>827</v>
      </c>
      <c r="F47" s="62" t="s">
        <v>973</v>
      </c>
      <c r="G47" s="62" t="s">
        <v>40</v>
      </c>
      <c r="H47" s="62" t="s">
        <v>529</v>
      </c>
      <c r="I47" s="62" t="s">
        <v>836</v>
      </c>
      <c r="J47" s="62" t="s">
        <v>698</v>
      </c>
      <c r="K47" s="62" t="s">
        <v>814</v>
      </c>
      <c r="L47" s="62"/>
      <c r="M47" s="62" t="str">
        <v>Confirm applicable duties and qualified custodian. Define segregated statutory records, separate consent storage, access and retention under Q38/Q46/Q55. Implement and review before live use.</v>
      </c>
      <c r="N47" s="63"/>
      <c r="O47" s="62" t="str">
        <v>Founder approval Sept 21, PLAN.md §20 Q55; Q38/Q46 retained. 28 CFR §75.2 and Mastercard §9.4.1.</v>
      </c>
      <c r="P47" s="63" t="n">
        <v>46286</v>
      </c>
      <c r="Q47" s="62" t="s">
        <v>41</v>
      </c>
      <c r="R47" s="62" t="str">
        <v>Where §2257 applies, use a qualified custodian and segregate statutory records from consent files. One contracted provider may manage both. Producer duties remain; status/forms/provider not confirmed.</v>
      </c>
      <c r="S47" s="62" t="s">
        <v>992</v>
      </c>
    </row>
    <row r="48" spans="1:19" ht="45.95" customHeight="1">
      <c r="A48" s="62" t="s">
        <v>993</v>
      </c>
      <c r="B48" s="62" t="s">
        <v>829</v>
      </c>
      <c r="C48" s="62" t="s">
        <v>830</v>
      </c>
      <c r="D48" s="62"/>
      <c r="E48" s="62" t="s">
        <v>827</v>
      </c>
      <c r="F48" s="62" t="s">
        <v>973</v>
      </c>
      <c r="G48" s="62" t="s">
        <v>43</v>
      </c>
      <c r="H48" s="62" t="s">
        <v>529</v>
      </c>
      <c r="I48" s="62" t="s">
        <v>836</v>
      </c>
      <c r="J48" s="62" t="s">
        <v>368</v>
      </c>
      <c r="K48" s="62" t="s">
        <v>808</v>
      </c>
      <c r="L48" s="62"/>
      <c r="M48" s="62" t="s">
        <v>994</v>
      </c>
      <c r="N48" s="63"/>
      <c r="O48" s="62"/>
      <c r="P48" s="63">
        <v>46250.666666666664</v>
      </c>
      <c r="Q48" s="62" t="s">
        <v>44</v>
      </c>
      <c r="R48" s="62" t="s">
        <v>45</v>
      </c>
      <c r="S48" s="62" t="s">
        <v>995</v>
      </c>
    </row>
    <row r="49" spans="1:19" ht="45.95" customHeight="1">
      <c r="A49" s="62" t="s">
        <v>996</v>
      </c>
      <c r="B49" s="62" t="s">
        <v>829</v>
      </c>
      <c r="C49" s="62" t="s">
        <v>830</v>
      </c>
      <c r="D49" s="62"/>
      <c r="E49" s="62" t="s">
        <v>827</v>
      </c>
      <c r="F49" s="62" t="s">
        <v>973</v>
      </c>
      <c r="G49" s="62" t="s">
        <v>46</v>
      </c>
      <c r="H49" s="62" t="s">
        <v>529</v>
      </c>
      <c r="I49" s="62" t="s">
        <v>807</v>
      </c>
      <c r="J49" s="62" t="s">
        <v>368</v>
      </c>
      <c r="K49" s="62" t="s">
        <v>814</v>
      </c>
      <c r="L49" s="62" t="s">
        <v>997</v>
      </c>
      <c r="M49" s="62" t="s">
        <v>998</v>
      </c>
      <c r="N49" s="63"/>
      <c r="O49" s="62"/>
      <c r="P49" s="63">
        <v>46250.666666666664</v>
      </c>
      <c r="Q49" s="62" t="s">
        <v>47</v>
      </c>
      <c r="R49" s="62" t="s">
        <v>48</v>
      </c>
      <c r="S49" s="62" t="s">
        <v>999</v>
      </c>
    </row>
    <row r="50" spans="1:19" ht="45.95" customHeight="1">
      <c r="A50" s="62" t="s">
        <v>1000</v>
      </c>
      <c r="B50" s="62" t="s">
        <v>829</v>
      </c>
      <c r="C50" s="62" t="s">
        <v>830</v>
      </c>
      <c r="D50" s="62"/>
      <c r="E50" s="62" t="s">
        <v>827</v>
      </c>
      <c r="F50" s="62" t="s">
        <v>973</v>
      </c>
      <c r="G50" s="62" t="s">
        <v>49</v>
      </c>
      <c r="H50" s="62" t="s">
        <v>529</v>
      </c>
      <c r="I50" s="62" t="s">
        <v>836</v>
      </c>
      <c r="J50" s="62" t="s">
        <v>368</v>
      </c>
      <c r="K50" s="62" t="s">
        <v>814</v>
      </c>
      <c r="L50" s="62"/>
      <c r="M50" s="62" t="s">
        <v>1001</v>
      </c>
      <c r="N50" s="63"/>
      <c r="O50" s="62"/>
      <c r="P50" s="63">
        <v>46250.666666666664</v>
      </c>
      <c r="Q50" s="62" t="s">
        <v>50</v>
      </c>
      <c r="R50" s="62" t="s">
        <v>51</v>
      </c>
      <c r="S50" s="62" t="s">
        <v>1002</v>
      </c>
    </row>
    <row r="51" spans="1:19" ht="45.95" customHeight="1">
      <c r="A51" s="62" t="s">
        <v>1003</v>
      </c>
      <c r="B51" s="62" t="s">
        <v>829</v>
      </c>
      <c r="C51" s="62" t="s">
        <v>830</v>
      </c>
      <c r="D51" s="62" t="s">
        <v>838</v>
      </c>
      <c r="E51" s="62" t="s">
        <v>827</v>
      </c>
      <c r="F51" s="62" t="s">
        <v>973</v>
      </c>
      <c r="G51" s="62" t="s">
        <v>52</v>
      </c>
      <c r="H51" s="62" t="s">
        <v>529</v>
      </c>
      <c r="I51" s="62" t="s">
        <v>836</v>
      </c>
      <c r="J51" s="62" t="s">
        <v>368</v>
      </c>
      <c r="K51" s="62" t="s">
        <v>814</v>
      </c>
      <c r="L51" s="62" t="s">
        <v>997</v>
      </c>
      <c r="M51" s="62" t="str">
        <v>Continue functioning-site/policy preparation. Apply current Mastercard adult rules and law; reconcile written CCBill/acquirer requirements before finalization.</v>
      </c>
      <c r="N51" s="63"/>
      <c r="O51" s="62" t="str">
        <v>PLAN.md §20 Q17; docs/product/initial-ccbill-inquiry.md; Mastercard §9.4.1 (2026-08-04).</v>
      </c>
      <c r="P51" s="63" t="n">
        <v>46278</v>
      </c>
      <c r="Q51" s="62" t="s">
        <v>53</v>
      </c>
      <c r="R51" s="62" t="str">
        <v>Q17 approved. CCBill intake only; password-protected functioning site allowed. No detailed checklist/approval. Safe-content/R2 verified; policy drafting commissioned. Model, fees/reserves and payouts unresolved.</v>
      </c>
      <c r="S51" s="62" t="s">
        <v>1007</v>
      </c>
    </row>
    <row r="52" spans="1:19" ht="45.95" customHeight="1">
      <c r="A52" s="62" t="s">
        <v>1008</v>
      </c>
      <c r="B52" s="62" t="s">
        <v>829</v>
      </c>
      <c r="C52" s="62" t="s">
        <v>830</v>
      </c>
      <c r="D52" s="62" t="s">
        <v>838</v>
      </c>
      <c r="E52" s="62" t="s">
        <v>827</v>
      </c>
      <c r="F52" s="62" t="s">
        <v>1009</v>
      </c>
      <c r="G52" s="62" t="s">
        <v>54</v>
      </c>
      <c r="H52" s="62" t="str">
        <v>In Progress</v>
      </c>
      <c r="I52" s="62" t="s">
        <v>836</v>
      </c>
      <c r="J52" s="62" t="s">
        <v>698</v>
      </c>
      <c r="K52" s="62" t="s">
        <v>808</v>
      </c>
      <c r="L52" s="62" t="str">
        <v>Suzanne response and commissioned drafts</v>
      </c>
      <c r="M52" s="62" t="str">
        <v>Review Suzanne response and drafts when received. Resolve flagged legal/provider points before final approval. PLAN §20.</v>
      </c>
      <c r="N52" s="63"/>
      <c r="O52" s="62" t="str">
        <v>Founder confirmed final questionnaire corrections; awaiting Suzanne Sept 23. Expense Tracker row 11 paid bundle; legal approval pending.</v>
      </c>
      <c r="P52" s="63" t="n">
        <v>46288</v>
      </c>
      <c r="Q52" s="62" t="s">
        <v>55</v>
      </c>
      <c r="R52" s="62" t="str">
        <v>Q22: approval before creator publishing/monetization; applicable performer records before publication. Tax/payout documents before withdrawal or earlier if required. Forms/timing and implementation pending.</v>
      </c>
      <c r="S52" s="62" t="s">
        <v>1011</v>
      </c>
    </row>
    <row r="53" spans="1:19" ht="45.95" customHeight="1">
      <c r="A53" s="62" t="s">
        <v>1012</v>
      </c>
      <c r="B53" s="62" t="s">
        <v>829</v>
      </c>
      <c r="C53" s="62" t="s">
        <v>830</v>
      </c>
      <c r="D53" s="62"/>
      <c r="E53" s="62" t="s">
        <v>827</v>
      </c>
      <c r="F53" s="62" t="s">
        <v>973</v>
      </c>
      <c r="G53" s="62" t="s">
        <v>57</v>
      </c>
      <c r="H53" s="62" t="s">
        <v>532</v>
      </c>
      <c r="I53" s="62" t="s">
        <v>836</v>
      </c>
      <c r="J53" s="62" t="s">
        <v>338</v>
      </c>
      <c r="K53" s="62" t="s">
        <v>814</v>
      </c>
      <c r="L53" s="62"/>
      <c r="M53" s="62" t="s">
        <v>970</v>
      </c>
      <c r="N53" s="63"/>
      <c r="O53" s="62"/>
      <c r="P53" s="63">
        <v>46250.666666666664</v>
      </c>
      <c r="Q53" s="62" t="s">
        <v>58</v>
      </c>
      <c r="R53" s="62" t="s">
        <v>59</v>
      </c>
      <c r="S53" s="62" t="s">
        <v>1013</v>
      </c>
    </row>
    <row r="54" spans="1:19" ht="45.95" customHeight="1">
      <c r="A54" s="62" t="s">
        <v>1014</v>
      </c>
      <c r="B54" s="62" t="s">
        <v>829</v>
      </c>
      <c r="C54" s="62" t="s">
        <v>830</v>
      </c>
      <c r="D54" s="62"/>
      <c r="E54" s="62" t="s">
        <v>827</v>
      </c>
      <c r="F54" s="62" t="s">
        <v>973</v>
      </c>
      <c r="G54" s="62" t="s">
        <v>60</v>
      </c>
      <c r="H54" s="62" t="s">
        <v>529</v>
      </c>
      <c r="I54" s="62" t="s">
        <v>836</v>
      </c>
      <c r="J54" s="62" t="s">
        <v>338</v>
      </c>
      <c r="K54" s="62" t="s">
        <v>808</v>
      </c>
      <c r="L54" s="62"/>
      <c r="M54" s="62" t="s">
        <v>1015</v>
      </c>
      <c r="N54" s="63"/>
      <c r="O54" s="62"/>
      <c r="P54" s="63">
        <v>46250.666666666664</v>
      </c>
      <c r="Q54" s="62" t="s">
        <v>582</v>
      </c>
      <c r="R54" s="62" t="s">
        <v>61</v>
      </c>
      <c r="S54" s="62" t="s">
        <v>1016</v>
      </c>
    </row>
    <row r="55" spans="1:19" ht="45.95" customHeight="1">
      <c r="A55" s="62" t="s">
        <v>1017</v>
      </c>
      <c r="B55" s="62" t="s">
        <v>829</v>
      </c>
      <c r="C55" s="62" t="s">
        <v>830</v>
      </c>
      <c r="D55" s="62" t="s">
        <v>817</v>
      </c>
      <c r="E55" s="62" t="s">
        <v>827</v>
      </c>
      <c r="F55" s="62" t="s">
        <v>973</v>
      </c>
      <c r="G55" s="62" t="s">
        <v>62</v>
      </c>
      <c r="H55" s="62" t="s">
        <v>529</v>
      </c>
      <c r="I55" s="62" t="s">
        <v>807</v>
      </c>
      <c r="J55" s="62" t="s">
        <v>338</v>
      </c>
      <c r="K55" s="62" t="s">
        <v>814</v>
      </c>
      <c r="L55" s="62"/>
      <c r="M55" s="62" t="s">
        <v>1018</v>
      </c>
      <c r="N55" s="63"/>
      <c r="O55" s="62"/>
      <c r="P55" s="63">
        <v>46250.666666666664</v>
      </c>
      <c r="Q55" s="62" t="s">
        <v>63</v>
      </c>
      <c r="R55" s="62" t="s">
        <v>64</v>
      </c>
      <c r="S55" s="62" t="s">
        <v>1019</v>
      </c>
    </row>
    <row r="56" spans="1:19" ht="45.95" customHeight="1">
      <c r="A56" s="62" t="s">
        <v>1020</v>
      </c>
      <c r="B56" s="62" t="s">
        <v>829</v>
      </c>
      <c r="C56" s="62" t="s">
        <v>830</v>
      </c>
      <c r="D56" s="62"/>
      <c r="E56" s="62" t="s">
        <v>827</v>
      </c>
      <c r="F56" s="62" t="s">
        <v>973</v>
      </c>
      <c r="G56" s="62" t="s">
        <v>65</v>
      </c>
      <c r="H56" s="62" t="s">
        <v>529</v>
      </c>
      <c r="I56" s="62" t="s">
        <v>836</v>
      </c>
      <c r="J56" s="62" t="s">
        <v>368</v>
      </c>
      <c r="K56" s="62" t="s">
        <v>808</v>
      </c>
      <c r="L56" t="str" s="62">
        <v>Public-record check</v>
      </c>
      <c r="M56" t="str" s="62">
        <v>Check the public Maryland record against the approved filing. Keep tax and internal ownership records private.</v>
      </c>
      <c r="N56" s="63"/>
      <c r="O56" t="str" s="62">
        <v>Founder reviewed initial filing, resolution and operating agreement and confirmed the name appears only in internal documents. Chat, September 16, 2026.</v>
      </c>
      <c r="P56" t="n" s="63">
        <v>46281</v>
      </c>
      <c r="Q56" s="62" t="s">
        <v>66</v>
      </c>
      <c r="R56" t="str" s="62">
        <v>Founder confirms state approval. Northwest address shown in dashboard; personal name absent from initial filing, present in internal resolution/agreement. Public SDAT record not independently checked.</v>
      </c>
      <c r="S56" s="62" t="s">
        <v>1024</v>
      </c>
    </row>
    <row r="57" spans="1:19" ht="45.95" customHeight="1">
      <c r="A57" s="62" t="s">
        <v>1027</v>
      </c>
      <c r="B57" s="62" t="s">
        <v>829</v>
      </c>
      <c r="C57" s="62" t="s">
        <v>830</v>
      </c>
      <c r="D57" s="62"/>
      <c r="E57" s="62" t="s">
        <v>827</v>
      </c>
      <c r="F57" s="62" t="s">
        <v>973</v>
      </c>
      <c r="G57" s="62" t="s">
        <v>70</v>
      </c>
      <c r="H57" s="62" t="s">
        <v>529</v>
      </c>
      <c r="I57" s="62" t="s">
        <v>836</v>
      </c>
      <c r="J57" s="62" t="s">
        <v>368</v>
      </c>
      <c r="K57" s="62" t="s">
        <v>808</v>
      </c>
      <c r="L57" s="62" t="str">
        <v>Commissioned draft and substantive review pending</v>
      </c>
      <c r="M57" s="62" t="str">
        <v>Review commissioned policy; assess specialist participation and processor requirements; implement/test controls. Active founder review: LEG-MT-032. PLAN.md §20.</v>
      </c>
      <c r="N57" s="63"/>
      <c r="O57" s="62" t="str">
        <v>Q107 approved Sept 22; questionnaire reviewed. PLAN.md §20. Suzanne Lawyer $1,100 bundle recorded in Expense Tracker row 11; draft and controls pending.</v>
      </c>
      <c r="P57" s="63" t="n">
        <v>46287</v>
      </c>
      <c r="Q57" s="62" t="s">
        <v>71</v>
      </c>
      <c r="R57" s="62" t="s">
        <v>1030</v>
      </c>
      <c r="S57" s="62" t="s">
        <v>1031</v>
      </c>
    </row>
    <row r="58" spans="1:19" ht="45.95" customHeight="1">
      <c r="A58" s="62" t="s">
        <v>1032</v>
      </c>
      <c r="B58" s="62" t="s">
        <v>829</v>
      </c>
      <c r="C58" s="62" t="s">
        <v>830</v>
      </c>
      <c r="D58" s="62"/>
      <c r="E58" s="62" t="s">
        <v>827</v>
      </c>
      <c r="F58" s="62" t="s">
        <v>973</v>
      </c>
      <c r="G58" s="62" t="s">
        <v>72</v>
      </c>
      <c r="H58" s="62" t="str">
        <v>In Progress</v>
      </c>
      <c r="I58" s="62" t="s">
        <v>836</v>
      </c>
      <c r="J58" s="62" t="s">
        <v>368</v>
      </c>
      <c r="K58" s="62" t="s">
        <v>808</v>
      </c>
      <c r="L58" s="62" t="str">
        <v>Final policy and controls pending</v>
      </c>
      <c r="M58" s="62" t="str">
        <v>Finalize policy, retention periods and applicable neutral-review arrangements; implement/test NCII controls. Active founder review: LEG-MT-027. PLAN.md §20.</v>
      </c>
      <c r="N58" s="63"/>
      <c r="O58" s="62" t="str">
        <v>Founder approval Sept 21, PLAN.md §20 Q96: human appeals, consent-based restoration and applicable neutral review at Pumdoki expense. Provider/controls pending.</v>
      </c>
      <c r="P58" s="63" t="n">
        <v>46286</v>
      </c>
      <c r="Q58" s="62" t="s">
        <v>73</v>
      </c>
      <c r="R58" s="62" t="s">
        <v>74</v>
      </c>
      <c r="S58" s="62" t="s">
        <v>1033</v>
      </c>
    </row>
    <row r="59" spans="1:19" ht="45.95" customHeight="1">
      <c r="A59" s="62" t="s">
        <v>1034</v>
      </c>
      <c r="B59" s="62" t="s">
        <v>829</v>
      </c>
      <c r="C59" s="62" t="s">
        <v>830</v>
      </c>
      <c r="D59" s="62"/>
      <c r="E59" s="62" t="s">
        <v>827</v>
      </c>
      <c r="F59" s="62" t="s">
        <v>973</v>
      </c>
      <c r="G59" s="62" t="s">
        <v>75</v>
      </c>
      <c r="H59" s="62" t="s">
        <v>532</v>
      </c>
      <c r="I59" s="62" t="s">
        <v>836</v>
      </c>
      <c r="J59" s="62" t="s">
        <v>368</v>
      </c>
      <c r="K59" s="62" t="s">
        <v>814</v>
      </c>
      <c r="L59" s="62"/>
      <c r="M59" s="62" t="s">
        <v>970</v>
      </c>
      <c r="N59" s="63"/>
      <c r="O59" s="62"/>
      <c r="P59" s="63">
        <v>46250.666666666664</v>
      </c>
      <c r="Q59" s="62" t="s">
        <v>76</v>
      </c>
      <c r="R59" s="62" t="s">
        <v>77</v>
      </c>
      <c r="S59" s="62" t="s">
        <v>1035</v>
      </c>
    </row>
    <row r="60" spans="1:19" ht="45.95" customHeight="1">
      <c r="A60" s="62" t="s">
        <v>1036</v>
      </c>
      <c r="B60" s="62" t="s">
        <v>829</v>
      </c>
      <c r="C60" s="62" t="s">
        <v>830</v>
      </c>
      <c r="D60" s="62"/>
      <c r="E60" s="62" t="s">
        <v>827</v>
      </c>
      <c r="F60" s="62" t="s">
        <v>973</v>
      </c>
      <c r="G60" s="62" t="s">
        <v>78</v>
      </c>
      <c r="H60" s="62" t="s">
        <v>532</v>
      </c>
      <c r="I60" s="62" t="s">
        <v>836</v>
      </c>
      <c r="J60" s="62" t="s">
        <v>368</v>
      </c>
      <c r="K60" s="62" t="s">
        <v>808</v>
      </c>
      <c r="L60" s="62" t="s">
        <v>984</v>
      </c>
      <c r="M60" s="62" t="str">
        <v>Draft government-request handling using Q64 reporting/preservation boundaries. Define lawful disclosures, notices, emergency contacts, NCMEC setup and restricted evidence procedures before live use.</v>
      </c>
      <c r="N60" s="63"/>
      <c r="O60" s="62" t="str">
        <v>Founder approval Sept 21, PLAN.md §20 Q64; 18 USC 2258A/2702. Reporting direction recorded; full government-request policy remains undrafted.</v>
      </c>
      <c r="P60" s="63" t="n">
        <v>46286</v>
      </c>
      <c r="Q60" s="62" t="s">
        <v>79</v>
      </c>
      <c r="R60" s="62" t="str">
        <v>Q64: mandatory CyberTipline reports, urgent emergency escalation, lawful referrals/disclosures, secure preservation. Covered report material: one year; longer if required. Full policy/controls pending.</v>
      </c>
      <c r="S60" s="62" t="s">
        <v>1037</v>
      </c>
    </row>
    <row r="61" spans="1:19" ht="45.95" customHeight="1">
      <c r="A61" s="62" t="s">
        <v>1038</v>
      </c>
      <c r="B61" s="62" t="s">
        <v>829</v>
      </c>
      <c r="C61" s="62" t="s">
        <v>830</v>
      </c>
      <c r="D61" s="62"/>
      <c r="E61" s="62" t="s">
        <v>827</v>
      </c>
      <c r="F61" s="62" t="s">
        <v>973</v>
      </c>
      <c r="G61" s="62" t="s">
        <v>81</v>
      </c>
      <c r="H61" s="62" t="str">
        <v>In Progress</v>
      </c>
      <c r="I61" s="62" t="s">
        <v>836</v>
      </c>
      <c r="J61" s="62" t="s">
        <v>698</v>
      </c>
      <c r="K61" s="62" t="s">
        <v>808</v>
      </c>
      <c r="L61" s="62" t="str">
        <v>Commissioned draft and substantive review pending</v>
      </c>
      <c r="M61" s="62" t="str">
        <v>Review commissioned policy; implement/test appeals, notices, external review and financial corrections. Active founder review: LEG-MT-021. PLAN.md §20.</v>
      </c>
      <c r="N61" s="63"/>
      <c r="O61" s="62" t="str">
        <v>Q122 approved Sept 22; appeals questions reviewed. PLAN.md §20. Suzanne Lawyer bundle, Expense Tracker row 11; final policy and controls pending.</v>
      </c>
      <c r="P61" s="63" t="n">
        <v>46287</v>
      </c>
      <c r="Q61" s="62" t="s">
        <v>82</v>
      </c>
      <c r="R61" s="62" t="str">
        <v>Drafting commissioned in purchased bundle. Final review, applicable neutral-review arrangements and appeal controls pending before creator onboarding.</v>
      </c>
      <c r="S61" s="62" t="s">
        <v>1039</v>
      </c>
    </row>
    <row r="62" spans="1:19" ht="45.95" customHeight="1">
      <c r="A62" s="62" t="s">
        <v>1040</v>
      </c>
      <c r="B62" s="62" t="s">
        <v>829</v>
      </c>
      <c r="C62" s="62" t="s">
        <v>830</v>
      </c>
      <c r="D62" s="62"/>
      <c r="E62" s="62" t="s">
        <v>827</v>
      </c>
      <c r="F62" s="62" t="s">
        <v>973</v>
      </c>
      <c r="G62" s="62" t="s">
        <v>84</v>
      </c>
      <c r="H62" s="62" t="str">
        <v>In Progress</v>
      </c>
      <c r="I62" s="62" t="s">
        <v>836</v>
      </c>
      <c r="J62" s="62" t="s">
        <v>368</v>
      </c>
      <c r="K62" s="62" t="s">
        <v>808</v>
      </c>
      <c r="L62" s="62" t="str">
        <v>Commissioned draft and substantive review pending</v>
      </c>
      <c r="M62" s="62" t="str">
        <v>Review commissioned policy and implement/test intake, case tracking, deadlines and backup coverage. Active founder review: LEG-MT-031. PLAN.md §20.</v>
      </c>
      <c r="N62" s="63"/>
      <c r="O62" s="62" t="str">
        <v>Q114 approved Sept 22; complaint questions reviewed. PLAN.md §20. Complaints/appeals drafting in Suzanne Lawyer bundle (Expense Tracker row 11); delivery/approval pending.</v>
      </c>
      <c r="P62" s="63" t="n">
        <v>46287</v>
      </c>
      <c r="Q62" s="62" t="s">
        <v>85</v>
      </c>
      <c r="R62" s="62" t="str">
        <v>Q7 aliases created; routing/tests pending. Q16/Q98 backup and urgent coverage planned. Drafting purchased; final policy and 7-business-day/48-hour controls pending.</v>
      </c>
      <c r="S62" s="62" t="s">
        <v>1041</v>
      </c>
    </row>
    <row r="63" spans="1:19" ht="45.95" customHeight="1">
      <c r="A63" s="62" t="s">
        <v>1042</v>
      </c>
      <c r="B63" s="62" t="s">
        <v>829</v>
      </c>
      <c r="C63" s="62" t="s">
        <v>830</v>
      </c>
      <c r="D63" s="62"/>
      <c r="E63" s="62" t="s">
        <v>827</v>
      </c>
      <c r="F63" s="62" t="s">
        <v>973</v>
      </c>
      <c r="G63" s="62" t="s">
        <v>87</v>
      </c>
      <c r="H63" s="62" t="s">
        <v>532</v>
      </c>
      <c r="I63" s="62" t="s">
        <v>836</v>
      </c>
      <c r="J63" s="62" t="s">
        <v>368</v>
      </c>
      <c r="K63" s="62" t="s">
        <v>808</v>
      </c>
      <c r="L63" s="62"/>
      <c r="M63" s="62" t="s">
        <v>970</v>
      </c>
      <c r="N63" s="63"/>
      <c r="O63" s="62"/>
      <c r="P63" s="63">
        <v>46250.666666666664</v>
      </c>
      <c r="Q63" s="62" t="s">
        <v>88</v>
      </c>
      <c r="R63" s="62" t="s">
        <v>89</v>
      </c>
      <c r="S63" s="62" t="s">
        <v>1043</v>
      </c>
    </row>
    <row r="64" spans="1:19" ht="45.95" customHeight="1">
      <c r="A64" s="62" t="s">
        <v>1044</v>
      </c>
      <c r="B64" s="62" t="s">
        <v>829</v>
      </c>
      <c r="C64" s="62" t="s">
        <v>830</v>
      </c>
      <c r="D64" s="62"/>
      <c r="E64" s="62" t="s">
        <v>827</v>
      </c>
      <c r="F64" s="62" t="s">
        <v>973</v>
      </c>
      <c r="G64" s="62" t="s">
        <v>90</v>
      </c>
      <c r="H64" s="62" t="s">
        <v>532</v>
      </c>
      <c r="I64" s="62" t="s">
        <v>836</v>
      </c>
      <c r="J64" s="62" t="s">
        <v>338</v>
      </c>
      <c r="K64" s="62" t="s">
        <v>808</v>
      </c>
      <c r="L64" s="62"/>
      <c r="M64" s="62" t="s">
        <v>970</v>
      </c>
      <c r="N64" s="63"/>
      <c r="O64" s="62"/>
      <c r="P64" s="63">
        <v>46250.666666666664</v>
      </c>
      <c r="Q64" s="62" t="s">
        <v>91</v>
      </c>
      <c r="R64" s="62" t="s">
        <v>92</v>
      </c>
      <c r="S64" s="62" t="s">
        <v>1045</v>
      </c>
    </row>
    <row r="65" spans="1:19" ht="45.95" customHeight="1">
      <c r="A65" s="62" t="s">
        <v>1110</v>
      </c>
      <c r="B65" s="62" t="s">
        <v>829</v>
      </c>
      <c r="C65" s="62" t="s">
        <v>830</v>
      </c>
      <c r="D65" s="62"/>
      <c r="E65" s="62" t="s">
        <v>827</v>
      </c>
      <c r="F65" s="62" t="s">
        <v>1009</v>
      </c>
      <c r="G65" s="62" t="s">
        <v>143</v>
      </c>
      <c r="H65" s="62" t="s">
        <v>529</v>
      </c>
      <c r="I65" s="62" t="s">
        <v>807</v>
      </c>
      <c r="J65" s="62" t="s">
        <v>368</v>
      </c>
      <c r="K65" s="62" t="s">
        <v>814</v>
      </c>
      <c r="L65" s="62" t="s">
        <v>1010</v>
      </c>
      <c r="M65" s="62" t="s">
        <v>1111</v>
      </c>
      <c r="N65" s="63"/>
      <c r="O65" s="62"/>
      <c r="P65" s="63">
        <v>46250.666666666664</v>
      </c>
      <c r="Q65" s="62" t="s">
        <v>144</v>
      </c>
      <c r="R65" s="62" t="s">
        <v>601</v>
      </c>
      <c r="S65" s="62" t="s">
        <v>1112</v>
      </c>
    </row>
    <row r="66" spans="1:19" ht="96" customHeight="1">
      <c r="A66" s="62" t="s">
        <v>1113</v>
      </c>
      <c r="B66" s="62" t="s">
        <v>829</v>
      </c>
      <c r="C66" s="62" t="s">
        <v>830</v>
      </c>
      <c r="D66" s="62" t="inlineStr">
        <is>
          <t xml:space="preserve">P03, P05, P08, P14</t>
        </is>
      </c>
      <c r="E66" s="62" t="s">
        <v>827</v>
      </c>
      <c r="F66" s="62" t="s">
        <v>1009</v>
      </c>
      <c r="G66" s="62" t="inlineStr">
        <is>
          <t xml:space="preserve">Create global age-verification requirement / 18+ entry gate</t>
        </is>
      </c>
      <c r="H66" s="62" t="s">
        <v>529</v>
      </c>
      <c r="I66" s="62" t="s">
        <v>836</v>
      </c>
      <c r="J66" s="62" t="s">
        <v>368</v>
      </c>
      <c r="K66" s="62" t="s">
        <v>814</v>
      </c>
      <c r="L66" s="62" t="inlineStr">
        <is>
          <t xml:space="preserve">Launch-country rules + provider/privacy review</t>
        </is>
      </c>
      <c r="M66" s="62" t="str">
        <v>Finalize location/risk triggers with LEG-MT-153 and provider/data handling with LEG-MT-155; implement/test required server-side checks before live adult access.</v>
      </c>
      <c r="N66" s="63"/>
      <c r="O66" s="62" t="str">
        <v>PLAN.md §3.5/§20 Q20; founder approval Sept 13; https://help.fansly.com/en/articles/11845000-global-age-verification-requirement</v>
      </c>
      <c r="P66" s="63" t="n">
        <v>46278</v>
      </c>
      <c r="Q66" s="62" t="str">
        <v>18+ or higher legal minimum. Member checks follow jurisdiction/law, processor requirements and risk controls. Login/content-entry prompt; provider-hosted selfie/liveness and ID fallback if required; saved status and retry/help states. Enforce required checks server-side before adult access. Separate from content opt-in and creator identity/performer records.</v>
      </c>
      <c r="R66" s="62" t="str">
        <v>Q20 approved. Age attestation and Terms/Privacy evidence exist; verified email gates creator applications. Required age checks cannot be replaced by attestation. Provider, country rules and verification setup/tests pending. Fansly details are not adopted.</v>
      </c>
      <c r="S66" s="62" t="s">
        <v>1115</v>
      </c>
    </row>
    <row r="67" spans="1:19" ht="45.95" customHeight="1">
      <c r="A67" s="62" t="s">
        <v>1244</v>
      </c>
      <c r="B67" s="62" t="s">
        <v>829</v>
      </c>
      <c r="C67" s="62" t="s">
        <v>830</v>
      </c>
      <c r="D67" s="62" t="s">
        <v>849</v>
      </c>
      <c r="E67" s="62" t="s">
        <v>827</v>
      </c>
      <c r="F67" s="62" t="s">
        <v>1009</v>
      </c>
      <c r="G67" s="62" t="s">
        <v>251</v>
      </c>
      <c r="H67" s="62" t="s">
        <v>529</v>
      </c>
      <c r="I67" s="62" t="s">
        <v>819</v>
      </c>
      <c r="J67" s="62" t="s">
        <v>338</v>
      </c>
      <c r="K67" s="62" t="s">
        <v>814</v>
      </c>
      <c r="L67" s="62"/>
      <c r="M67" s="62" t="s">
        <v>1245</v>
      </c>
      <c r="N67" s="63"/>
      <c r="O67" s="62"/>
      <c r="P67" s="63">
        <v>46250.666666666664</v>
      </c>
      <c r="Q67" s="62" t="s">
        <v>252</v>
      </c>
      <c r="R67" s="62" t="s">
        <v>628</v>
      </c>
      <c r="S67" s="62" t="s">
        <v>1246</v>
      </c>
    </row>
    <row r="68" spans="1:19" ht="45.95" customHeight="1">
      <c r="A68" s="62" t="s">
        <v>1345</v>
      </c>
      <c r="B68" s="62" t="s">
        <v>829</v>
      </c>
      <c r="C68" s="62" t="s">
        <v>830</v>
      </c>
      <c r="D68" s="62"/>
      <c r="E68" s="62" t="s">
        <v>827</v>
      </c>
      <c r="F68" s="62" t="s">
        <v>973</v>
      </c>
      <c r="G68" s="62" t="s">
        <v>659</v>
      </c>
      <c r="H68" s="62" t="s">
        <v>532</v>
      </c>
      <c r="I68" s="62" t="s">
        <v>836</v>
      </c>
      <c r="J68" s="62" t="s">
        <v>368</v>
      </c>
      <c r="K68" s="62" t="s">
        <v>814</v>
      </c>
      <c r="L68" s="62" t="s">
        <v>1010</v>
      </c>
      <c r="M68" s="62" t="str">
        <v>Before pilot: confirm creator/member country lists, member cap, verification budget and cash buffer. Implement/test Q49 access restrictions. Creator tax forms: LEG-MT-021.</v>
      </c>
      <c r="N68" s="63"/>
      <c r="O68" s="62" t="str">
        <v>Founder approvals Sept 13 and 16. PLAN.md §3.6 and §20, Q9-10 and Q49. Published eligibility/age-check comparison sources linked there.</v>
      </c>
      <c r="P68" s="63" t="n">
        <v>46281</v>
      </c>
      <c r="Q68" s="62" t="s">
        <v>660</v>
      </c>
      <c r="R68" s="62" t="str">
        <v>Q49 approved: broad international objective, separate creator/member eligibility, active restrictions and required age checks before adult access. Country lists, budgets, providers and controls pending.</v>
      </c>
      <c r="S68" s="62" t="s">
        <v>1346</v>
      </c>
    </row>
    <row r="69" spans="1:19" ht="45.95" customHeight="1">
      <c r="A69" s="62" t="s">
        <v>1347</v>
      </c>
      <c r="B69" s="62" t="s">
        <v>829</v>
      </c>
      <c r="C69" s="62" t="s">
        <v>830</v>
      </c>
      <c r="D69" s="62" t="s">
        <v>1348</v>
      </c>
      <c r="E69" s="62" t="s">
        <v>827</v>
      </c>
      <c r="F69" s="62" t="s">
        <v>1009</v>
      </c>
      <c r="G69" s="62" t="s">
        <v>662</v>
      </c>
      <c r="H69" s="62" t="s">
        <v>532</v>
      </c>
      <c r="I69" s="62" t="s">
        <v>836</v>
      </c>
      <c r="J69" s="62" t="s">
        <v>368</v>
      </c>
      <c r="K69" s="62" t="s">
        <v>814</v>
      </c>
      <c r="L69" s="62" t="s">
        <v>1010</v>
      </c>
      <c r="M69" s="62" t="s">
        <v>970</v>
      </c>
      <c r="N69" s="63"/>
      <c r="O69" s="62"/>
      <c r="P69" s="63">
        <v>46250.666666666664</v>
      </c>
      <c r="Q69" s="62" t="s">
        <v>663</v>
      </c>
      <c r="R69" s="62" t="s">
        <v>664</v>
      </c>
      <c r="S69" s="62" t="s">
        <v>1349</v>
      </c>
    </row>
    <row r="70" spans="1:19" ht="45.95" customHeight="1">
      <c r="A70" s="62" t="s">
        <v>1350</v>
      </c>
      <c r="B70" s="62" t="s">
        <v>829</v>
      </c>
      <c r="C70" s="62" t="s">
        <v>830</v>
      </c>
      <c r="D70" s="62"/>
      <c r="E70" s="62" t="s">
        <v>827</v>
      </c>
      <c r="F70" s="62" t="s">
        <v>1009</v>
      </c>
      <c r="G70" s="62" t="s">
        <v>665</v>
      </c>
      <c r="H70" s="62" t="s">
        <v>532</v>
      </c>
      <c r="I70" s="62" t="s">
        <v>836</v>
      </c>
      <c r="J70" s="62" t="s">
        <v>338</v>
      </c>
      <c r="K70" s="62" t="s">
        <v>814</v>
      </c>
      <c r="L70" s="62"/>
      <c r="M70" s="62" t="str">
        <v>Compare Ondato/Veriff coverage, total pilot cost and privacy/retention terms; coordinate CCBill review requirements before selection.</v>
      </c>
      <c r="N70" s="63"/>
      <c r="O70" s="62" t="str">
        <v>Founder approval in chat, Sept 13; PLAN.md §3.5 and §20, Question 12.</v>
      </c>
      <c r="P70" s="63" t="n">
        <v>46278</v>
      </c>
      <c r="Q70" s="62" t="str">
        <v>Compare automated member age assurance and creator identity/age verification providers; preserve replaceable integration.</v>
      </c>
      <c r="R70" s="62" t="str">
        <v>Sept 13: Ondato/Veriff candidates; no provider selected. Automated flows planned; configure/test before live adult access or real creator identity onboarding. No purchase or fixed CCBill deadline approved.</v>
      </c>
      <c r="S70" s="62" t="s">
        <v>1351</v>
      </c>
    </row>
    <row r="71" spans="1:19" ht="45.95" customHeight="1">
      <c r="A71" s="62" t="s">
        <v>1356</v>
      </c>
      <c r="B71" s="62" t="s">
        <v>829</v>
      </c>
      <c r="C71" s="62" t="s">
        <v>830</v>
      </c>
      <c r="D71" s="62"/>
      <c r="E71" s="62" t="s">
        <v>827</v>
      </c>
      <c r="F71" s="62" t="s">
        <v>973</v>
      </c>
      <c r="G71" s="62" t="s">
        <v>1357</v>
      </c>
      <c r="H71" t="str" s="62">
        <v>Done</v>
      </c>
      <c r="I71" s="62" t="s">
        <v>836</v>
      </c>
      <c r="J71" s="62" t="s">
        <v>338</v>
      </c>
      <c r="K71" s="62" t="s">
        <v>808</v>
      </c>
      <c r="L71" s="62"/>
      <c r="M71" t="str" s="62">
        <v>Retain state approval and IRS confirmation privately. Banking and DBA registration remain separate follow-ups.</v>
      </c>
      <c r="N71" s="63"/>
      <c r="O71" t="str" s="62">
        <v>Founder confirmed Maryland approval and supplied the issued EIN in chat on September 16, 2026. PLAN.md section 20.</v>
      </c>
      <c r="P71" t="n" s="63">
        <v>46281</v>
      </c>
      <c r="Q71" t="str" s="62">
        <v>Kiban Digital Holdings LLC: Maryland formation approved and EIN obtained, confirmed by the founder September 16, 2026.</v>
      </c>
      <c r="R71" t="str" s="62">
        <v>Filed through Northwest. Founder confirmed approval and EIN receipt Sept 16. Original state/IRS documents not independently inspected; EIN held outside Git. Banking/DBA remain open.</v>
      </c>
      <c r="S71" s="62" t="s">
        <v>1362</v>
      </c>
    </row>
    <row r="72" spans="1:19" ht="45.95" customHeight="1">
      <c r="A72" s="62" t="s">
        <v>1427</v>
      </c>
      <c r="B72" s="62" t="s">
        <v>829</v>
      </c>
      <c r="C72" s="62" t="s">
        <v>830</v>
      </c>
      <c r="D72" s="62" t="s">
        <v>823</v>
      </c>
      <c r="E72" s="62" t="s">
        <v>833</v>
      </c>
      <c r="F72" s="62" t="s">
        <v>1009</v>
      </c>
      <c r="G72" s="62" t="s">
        <v>1428</v>
      </c>
      <c r="H72" s="62" t="s">
        <v>528</v>
      </c>
      <c r="I72" s="62" t="s">
        <v>825</v>
      </c>
      <c r="J72" s="62" t="s">
        <v>368</v>
      </c>
      <c r="K72" s="62" t="s">
        <v>814</v>
      </c>
      <c r="L72" s="62"/>
      <c r="M72" s="62" t="s">
        <v>1429</v>
      </c>
      <c r="N72" s="63"/>
      <c r="O72" s="62" t="s">
        <v>1430</v>
      </c>
      <c r="P72" s="63">
        <v>46255.666666666664</v>
      </c>
      <c r="Q72" s="62" t="s">
        <v>1431</v>
      </c>
      <c r="R72" s="62" t="s">
        <v>1432</v>
      </c>
      <c r="S72" s="62" t="s">
        <v>1433</v>
      </c>
    </row>
    <row r="73" spans="1:19" ht="45.95" customHeight="1">
      <c r="A73" s="62" t="s">
        <v>1434</v>
      </c>
      <c r="B73" s="62" t="s">
        <v>829</v>
      </c>
      <c r="C73" s="62" t="s">
        <v>830</v>
      </c>
      <c r="D73" s="62" t="s">
        <v>849</v>
      </c>
      <c r="E73" s="62" t="s">
        <v>833</v>
      </c>
      <c r="F73" s="62" t="s">
        <v>1202</v>
      </c>
      <c r="G73" s="62" t="s">
        <v>1435</v>
      </c>
      <c r="H73" s="62" t="s">
        <v>528</v>
      </c>
      <c r="I73" s="62" t="s">
        <v>819</v>
      </c>
      <c r="J73" s="62" t="s">
        <v>368</v>
      </c>
      <c r="K73" s="62" t="s">
        <v>814</v>
      </c>
      <c r="L73" s="62"/>
      <c r="M73" s="62" t="s">
        <v>1436</v>
      </c>
      <c r="N73" s="63"/>
      <c r="O73" s="62" t="s">
        <v>966</v>
      </c>
      <c r="P73" s="63">
        <v>46255.666666666664</v>
      </c>
      <c r="Q73" s="62" t="s">
        <v>1437</v>
      </c>
      <c r="R73" s="62" t="s">
        <v>1438</v>
      </c>
      <c r="S73" s="62" t="s">
        <v>1433</v>
      </c>
    </row>
    <row r="74" spans="1:19" ht="45.95" customHeight="1">
      <c r="A74" s="62" t="s">
        <v>1455</v>
      </c>
      <c r="B74" s="62" t="s">
        <v>829</v>
      </c>
      <c r="C74" s="62" t="s">
        <v>830</v>
      </c>
      <c r="D74" s="62" t="s">
        <v>849</v>
      </c>
      <c r="E74" s="62" t="s">
        <v>821</v>
      </c>
      <c r="F74" s="62" t="s">
        <v>1202</v>
      </c>
      <c r="G74" s="62" t="s">
        <v>1456</v>
      </c>
      <c r="H74" s="62" t="s">
        <v>528</v>
      </c>
      <c r="I74" s="62" t="s">
        <v>819</v>
      </c>
      <c r="J74" s="62" t="s">
        <v>698</v>
      </c>
      <c r="K74" s="62" t="s">
        <v>814</v>
      </c>
      <c r="L74" s="62"/>
      <c r="M74" s="62" t="s">
        <v>1457</v>
      </c>
      <c r="N74" s="62"/>
      <c r="O74" s="62" t="s">
        <v>904</v>
      </c>
      <c r="P74" s="63">
        <v>46271.666666666664</v>
      </c>
      <c r="Q74" s="62" t="s">
        <v>1458</v>
      </c>
      <c r="R74" s="62" t="s">
        <v>1459</v>
      </c>
      <c r="S74" s="62" t="s">
        <v>1460</v>
      </c>
    </row>
    <row r="75" spans="1:19" ht="45.95" customHeight="1">
      <c r="A75" s="62" t="s">
        <v>1461</v>
      </c>
      <c r="B75" s="62" t="s">
        <v>829</v>
      </c>
      <c r="C75" s="62" t="s">
        <v>830</v>
      </c>
      <c r="D75" s="62" t="s">
        <v>849</v>
      </c>
      <c r="E75" s="62" t="s">
        <v>821</v>
      </c>
      <c r="F75" s="62" t="s">
        <v>1202</v>
      </c>
      <c r="G75" s="62" t="s">
        <v>1462</v>
      </c>
      <c r="H75" s="62" t="s">
        <v>528</v>
      </c>
      <c r="I75" s="62" t="s">
        <v>819</v>
      </c>
      <c r="J75" s="62" t="s">
        <v>698</v>
      </c>
      <c r="K75" s="62" t="s">
        <v>814</v>
      </c>
      <c r="L75" s="62"/>
      <c r="M75" s="62" t="s">
        <v>1457</v>
      </c>
      <c r="N75" s="62"/>
      <c r="O75" s="62" t="s">
        <v>904</v>
      </c>
      <c r="P75" s="63">
        <v>46271.666666666664</v>
      </c>
      <c r="Q75" s="62" t="s">
        <v>1463</v>
      </c>
      <c r="R75" s="62" t="s">
        <v>1459</v>
      </c>
      <c r="S75" s="62" t="s">
        <v>1460</v>
      </c>
    </row>
    <row r="76" spans="1:19" ht="45.95" customHeight="1">
      <c r="A76" s="62" t="s">
        <v>1464</v>
      </c>
      <c r="B76" s="62" t="s">
        <v>829</v>
      </c>
      <c r="C76" s="62" t="s">
        <v>830</v>
      </c>
      <c r="D76" s="62" t="s">
        <v>849</v>
      </c>
      <c r="E76" s="62" t="s">
        <v>821</v>
      </c>
      <c r="F76" s="62" t="s">
        <v>1202</v>
      </c>
      <c r="G76" s="62" t="s">
        <v>1465</v>
      </c>
      <c r="H76" s="62" t="s">
        <v>528</v>
      </c>
      <c r="I76" s="62" t="s">
        <v>819</v>
      </c>
      <c r="J76" s="62" t="s">
        <v>368</v>
      </c>
      <c r="K76" s="62" t="s">
        <v>814</v>
      </c>
      <c r="L76" s="62"/>
      <c r="M76" s="62" t="s">
        <v>1457</v>
      </c>
      <c r="N76" s="62"/>
      <c r="O76" s="62" t="s">
        <v>904</v>
      </c>
      <c r="P76" s="63">
        <v>46271.666666666664</v>
      </c>
      <c r="Q76" s="62" t="s">
        <v>1466</v>
      </c>
      <c r="R76" s="62" t="s">
        <v>1459</v>
      </c>
      <c r="S76" s="62" t="s">
        <v>1460</v>
      </c>
    </row>
    <row r="77" spans="1:19" ht="45.95" customHeight="1">
      <c r="A77" s="62" t="s">
        <v>1075</v>
      </c>
      <c r="B77" s="62" t="s">
        <v>834</v>
      </c>
      <c r="C77" s="62" t="s">
        <v>835</v>
      </c>
      <c r="D77" s="62"/>
      <c r="E77" s="62" t="s">
        <v>827</v>
      </c>
      <c r="F77" s="62" t="s">
        <v>835</v>
      </c>
      <c r="G77" s="62" t="s">
        <v>118</v>
      </c>
      <c r="H77" s="62" t="s">
        <v>529</v>
      </c>
      <c r="I77" s="62" t="s">
        <v>825</v>
      </c>
      <c r="J77" s="62" t="s">
        <v>338</v>
      </c>
      <c r="K77" s="62" t="s">
        <v>814</v>
      </c>
      <c r="L77" s="62"/>
      <c r="M77" s="62" t="s">
        <v>1076</v>
      </c>
      <c r="N77" s="63"/>
      <c r="O77" s="62" t="s">
        <v>1077</v>
      </c>
      <c r="P77" s="63">
        <v>46275.666666666664</v>
      </c>
      <c r="Q77" s="62" t="s">
        <v>589</v>
      </c>
      <c r="R77" s="62" t="s">
        <v>1078</v>
      </c>
      <c r="S77" s="62" t="s">
        <v>1079</v>
      </c>
    </row>
    <row r="78" spans="1:19" ht="45.95" customHeight="1">
      <c r="A78" s="62" t="s">
        <v>1137</v>
      </c>
      <c r="B78" s="62" t="s">
        <v>834</v>
      </c>
      <c r="C78" s="62" t="s">
        <v>835</v>
      </c>
      <c r="D78" s="62"/>
      <c r="E78" s="62" t="s">
        <v>827</v>
      </c>
      <c r="F78" s="62" t="s">
        <v>835</v>
      </c>
      <c r="G78" s="62" t="s">
        <v>171</v>
      </c>
      <c r="H78" s="62" t="s">
        <v>529</v>
      </c>
      <c r="I78" s="62" t="s">
        <v>813</v>
      </c>
      <c r="J78" s="62" t="s">
        <v>338</v>
      </c>
      <c r="K78" s="62" t="s">
        <v>814</v>
      </c>
      <c r="L78" s="62"/>
      <c r="M78" s="62" t="s">
        <v>1138</v>
      </c>
      <c r="N78" s="63"/>
      <c r="O78" s="62"/>
      <c r="P78" s="63">
        <v>46250.666666666664</v>
      </c>
      <c r="Q78" s="62" t="s">
        <v>172</v>
      </c>
      <c r="R78" s="62" t="s">
        <v>606</v>
      </c>
      <c r="S78" s="62" t="s">
        <v>1139</v>
      </c>
    </row>
    <row r="79" spans="1:19" ht="45.95" customHeight="1">
      <c r="A79" s="62" t="s">
        <v>1170</v>
      </c>
      <c r="B79" s="62" t="s">
        <v>834</v>
      </c>
      <c r="C79" s="62" t="s">
        <v>835</v>
      </c>
      <c r="D79" s="62"/>
      <c r="E79" s="62" t="s">
        <v>827</v>
      </c>
      <c r="F79" s="62" t="s">
        <v>835</v>
      </c>
      <c r="G79" s="62" t="s">
        <v>186</v>
      </c>
      <c r="H79" s="62" t="s">
        <v>528</v>
      </c>
      <c r="I79" s="62" t="s">
        <v>825</v>
      </c>
      <c r="J79" s="62" t="s">
        <v>350</v>
      </c>
      <c r="K79" s="62" t="s">
        <v>814</v>
      </c>
      <c r="L79" s="62"/>
      <c r="M79" s="62" t="s">
        <v>959</v>
      </c>
      <c r="N79" s="63"/>
      <c r="O79" s="62"/>
      <c r="P79" s="63">
        <v>46250.666666666664</v>
      </c>
      <c r="Q79" s="62" t="s">
        <v>187</v>
      </c>
      <c r="R79" s="62" t="s">
        <v>188</v>
      </c>
      <c r="S79" s="62" t="s">
        <v>1171</v>
      </c>
    </row>
    <row r="80" spans="1:19" ht="45.95" customHeight="1">
      <c r="A80" s="62" t="s">
        <v>1182</v>
      </c>
      <c r="B80" s="62" t="s">
        <v>834</v>
      </c>
      <c r="C80" s="62" t="s">
        <v>835</v>
      </c>
      <c r="D80" s="62"/>
      <c r="E80" s="62" t="s">
        <v>827</v>
      </c>
      <c r="F80" s="62" t="s">
        <v>835</v>
      </c>
      <c r="G80" s="62" t="s">
        <v>201</v>
      </c>
      <c r="H80" s="62" t="s">
        <v>530</v>
      </c>
      <c r="I80" s="62" t="s">
        <v>836</v>
      </c>
      <c r="J80" s="62" t="s">
        <v>338</v>
      </c>
      <c r="K80" s="62" t="s">
        <v>814</v>
      </c>
      <c r="L80" s="62" t="s">
        <v>1183</v>
      </c>
      <c r="M80" s="62" t="s">
        <v>1184</v>
      </c>
      <c r="N80" s="63"/>
      <c r="O80" s="62" t="s">
        <v>1185</v>
      </c>
      <c r="P80" s="63">
        <v>46274.666666666664</v>
      </c>
      <c r="Q80" s="62" t="s">
        <v>202</v>
      </c>
      <c r="R80" s="62" t="s">
        <v>1186</v>
      </c>
      <c r="S80" s="62" t="s">
        <v>1187</v>
      </c>
    </row>
    <row r="81" spans="1:19" ht="45.95" customHeight="1">
      <c r="A81" s="62" t="s">
        <v>1188</v>
      </c>
      <c r="B81" s="62" t="s">
        <v>834</v>
      </c>
      <c r="C81" s="62" t="s">
        <v>835</v>
      </c>
      <c r="D81" s="62"/>
      <c r="E81" s="62" t="s">
        <v>827</v>
      </c>
      <c r="F81" s="62" t="s">
        <v>835</v>
      </c>
      <c r="G81" s="62" t="s">
        <v>204</v>
      </c>
      <c r="H81" s="62" t="s">
        <v>529</v>
      </c>
      <c r="I81" s="62" t="s">
        <v>819</v>
      </c>
      <c r="J81" s="62" t="s">
        <v>698</v>
      </c>
      <c r="K81" s="62" t="s">
        <v>814</v>
      </c>
      <c r="L81" s="62" t="s">
        <v>1189</v>
      </c>
      <c r="M81" s="62" t="s">
        <v>1190</v>
      </c>
      <c r="N81" s="63"/>
      <c r="O81" s="62" t="s">
        <v>908</v>
      </c>
      <c r="P81" s="63">
        <v>46274.666666666664</v>
      </c>
      <c r="Q81" s="62" t="s">
        <v>205</v>
      </c>
      <c r="R81" s="62" t="s">
        <v>1191</v>
      </c>
      <c r="S81" s="62" t="s">
        <v>1192</v>
      </c>
    </row>
    <row r="82" spans="1:19" ht="45.95" customHeight="1">
      <c r="A82" s="62" t="s">
        <v>1193</v>
      </c>
      <c r="B82" s="62" t="s">
        <v>834</v>
      </c>
      <c r="C82" s="62" t="s">
        <v>835</v>
      </c>
      <c r="D82" s="62"/>
      <c r="E82" s="62" t="s">
        <v>827</v>
      </c>
      <c r="F82" s="62" t="s">
        <v>835</v>
      </c>
      <c r="G82" s="62" t="s">
        <v>207</v>
      </c>
      <c r="H82" s="62" t="s">
        <v>530</v>
      </c>
      <c r="I82" s="62" t="s">
        <v>836</v>
      </c>
      <c r="J82" s="62" t="s">
        <v>338</v>
      </c>
      <c r="K82" s="62" t="s">
        <v>814</v>
      </c>
      <c r="L82" s="62" t="s">
        <v>1183</v>
      </c>
      <c r="M82" s="62" t="s">
        <v>1194</v>
      </c>
      <c r="N82" s="63"/>
      <c r="O82" s="62" t="s">
        <v>1185</v>
      </c>
      <c r="P82" s="63">
        <v>46274.666666666664</v>
      </c>
      <c r="Q82" s="62" t="s">
        <v>208</v>
      </c>
      <c r="R82" s="62" t="s">
        <v>1195</v>
      </c>
      <c r="S82" s="62" t="s">
        <v>1196</v>
      </c>
    </row>
    <row r="83" spans="1:19" ht="45.95" customHeight="1">
      <c r="A83" s="62" t="s">
        <v>1197</v>
      </c>
      <c r="B83" s="62" t="s">
        <v>834</v>
      </c>
      <c r="C83" s="62" t="s">
        <v>835</v>
      </c>
      <c r="D83" s="62"/>
      <c r="E83" s="62" t="s">
        <v>827</v>
      </c>
      <c r="F83" s="62" t="s">
        <v>835</v>
      </c>
      <c r="G83" s="62" t="s">
        <v>210</v>
      </c>
      <c r="H83" s="62" t="s">
        <v>532</v>
      </c>
      <c r="I83" s="62" t="s">
        <v>836</v>
      </c>
      <c r="J83" s="62" t="s">
        <v>338</v>
      </c>
      <c r="K83" s="62" t="s">
        <v>814</v>
      </c>
      <c r="L83" s="62"/>
      <c r="M83" s="62" t="s">
        <v>970</v>
      </c>
      <c r="N83" s="63"/>
      <c r="O83" s="62"/>
      <c r="P83" s="63">
        <v>46250.666666666664</v>
      </c>
      <c r="Q83" s="62" t="s">
        <v>211</v>
      </c>
      <c r="R83" s="62" t="s">
        <v>212</v>
      </c>
      <c r="S83" s="62" t="s">
        <v>1198</v>
      </c>
    </row>
    <row r="84" spans="1:19" ht="72" customHeight="1">
      <c r="A84" s="62" t="s">
        <v>1199</v>
      </c>
      <c r="B84" s="62" t="s">
        <v>834</v>
      </c>
      <c r="C84" s="62" t="s">
        <v>835</v>
      </c>
      <c r="D84" s="62" t="inlineStr">
        <is>
          <t xml:space="preserve">P03, P08</t>
        </is>
      </c>
      <c r="E84" s="62" t="s">
        <v>827</v>
      </c>
      <c r="F84" s="62" t="s">
        <v>835</v>
      </c>
      <c r="G84" s="62" t="s">
        <v>213</v>
      </c>
      <c r="H84" s="62" t="s">
        <v>532</v>
      </c>
      <c r="I84" s="62" t="s">
        <v>836</v>
      </c>
      <c r="J84" s="62" t="s">
        <v>338</v>
      </c>
      <c r="K84" s="62" t="s">
        <v>814</v>
      </c>
      <c r="L84" s="62"/>
      <c r="M84" s="62" t="inlineStr">
        <is>
          <t xml:space="preserve">Coordinate with LEG-MT-078: define separate photo/video watermark controls, post-upload changes and protected delivery behavior. Implement and verify with the P05 media pipeline.</t>
        </is>
      </c>
      <c r="N84" s="63"/>
      <c r="O84" s="62"/>
      <c r="P84" s="63">
        <v>46275</v>
      </c>
      <c r="Q84" s="62" t="s">
        <v>214</v>
      </c>
      <c r="R84" s="62" t="inlineStr">
        <is>
          <t xml:space="preserve">Protection planning in scope. September 10: Settings watermark controls are tracked in LEG-MT-078 using the LoyalFans reference in that row. Controls require real media processing and authorized delivery; watermarking does not guarantee prevention of copying. Implementation remains Not Started.</t>
        </is>
      </c>
      <c r="S84" s="62" t="s">
        <v>1200</v>
      </c>
    </row>
    <row r="85" spans="1:19" ht="45.95" customHeight="1">
      <c r="A85" s="62" t="s">
        <v>1343</v>
      </c>
      <c r="B85" s="62" t="s">
        <v>834</v>
      </c>
      <c r="C85" s="62" t="s">
        <v>835</v>
      </c>
      <c r="D85" s="62"/>
      <c r="E85" s="62" t="s">
        <v>827</v>
      </c>
      <c r="F85" s="62" t="s">
        <v>835</v>
      </c>
      <c r="G85" s="62" t="s">
        <v>657</v>
      </c>
      <c r="H85" s="62" t="s">
        <v>529</v>
      </c>
      <c r="I85" s="62" t="s">
        <v>807</v>
      </c>
      <c r="J85" s="62" t="s">
        <v>338</v>
      </c>
      <c r="K85" s="62" t="s">
        <v>814</v>
      </c>
      <c r="L85" s="62"/>
      <c r="M85" s="62" t="s">
        <v>1156</v>
      </c>
      <c r="N85" s="63"/>
      <c r="O85" s="62"/>
      <c r="P85" s="63">
        <v>46250.666666666664</v>
      </c>
      <c r="Q85" s="62" t="s">
        <v>658</v>
      </c>
      <c r="R85" s="62" t="s">
        <v>613</v>
      </c>
      <c r="S85" s="62" t="s">
        <v>1344</v>
      </c>
    </row>
    <row r="86" spans="1:19" ht="45.95" customHeight="1">
      <c r="A86" s="62" t="s">
        <v>1352</v>
      </c>
      <c r="B86" s="62" t="s">
        <v>834</v>
      </c>
      <c r="C86" s="62" t="s">
        <v>835</v>
      </c>
      <c r="D86" s="62"/>
      <c r="E86" s="62" t="s">
        <v>827</v>
      </c>
      <c r="F86" s="62" t="s">
        <v>835</v>
      </c>
      <c r="G86" s="62" t="s">
        <v>668</v>
      </c>
      <c r="H86" s="62" t="s">
        <v>532</v>
      </c>
      <c r="I86" s="62" t="s">
        <v>836</v>
      </c>
      <c r="J86" s="62" t="s">
        <v>338</v>
      </c>
      <c r="K86" s="62" t="s">
        <v>814</v>
      </c>
      <c r="L86" s="62"/>
      <c r="M86" s="62" t="s">
        <v>970</v>
      </c>
      <c r="N86" s="63"/>
      <c r="O86" s="62"/>
      <c r="P86" s="63">
        <v>46250.666666666664</v>
      </c>
      <c r="Q86" s="62" t="s">
        <v>669</v>
      </c>
      <c r="R86" s="62" t="s">
        <v>670</v>
      </c>
      <c r="S86" s="62" t="s">
        <v>1353</v>
      </c>
    </row>
    <row r="87" spans="1:19" ht="45.95" customHeight="1">
      <c r="A87" s="62" t="s">
        <v>1067</v>
      </c>
      <c r="B87" s="62" t="s">
        <v>838</v>
      </c>
      <c r="C87" s="62" t="s">
        <v>839</v>
      </c>
      <c r="D87" s="62" t="s">
        <v>1068</v>
      </c>
      <c r="E87" s="62" t="s">
        <v>827</v>
      </c>
      <c r="F87" s="62" t="s">
        <v>1069</v>
      </c>
      <c r="G87" s="62" t="str">
        <v>Define Founders recognition and benefits</v>
      </c>
      <c r="H87" s="62" t="s">
        <v>532</v>
      </c>
      <c r="I87" s="62" t="s">
        <v>836</v>
      </c>
      <c r="J87" s="62" t="s">
        <v>338</v>
      </c>
      <c r="K87" s="62" t="s">
        <v>814</v>
      </c>
      <c r="L87" s="62"/>
      <c r="M87" s="62" t="str">
        <v>Finalize eligibility and enrollment cutoff/cap. Implement Q133 account-lifetime tag and conditional discovery/events; prize budgets remain separate.</v>
      </c>
      <c r="N87" s="63"/>
      <c r="O87" s="62" t="str">
        <v>Q132/Q133 approved Sept 22. PLAN.md section 20. Eligibility and event details pending.</v>
      </c>
      <c r="P87" s="63" t="n">
        <v>46287</v>
      </c>
      <c r="Q87" s="62" t="str">
        <v>Founders tag; Connect filter or Explore section below top sections; SFW Discord events; future event priority. No special commission.</v>
      </c>
      <c r="R87" s="62" t="str">
        <v>Q133 approved: eligible account-lifetime tag; discovery/events follow terms and availability. No permanent ranking or recurring prizes. Build pending.</v>
      </c>
      <c r="S87" s="62" t="s">
        <v>1072</v>
      </c>
    </row>
    <row r="88" spans="1:19" ht="45.95" customHeight="1">
      <c r="A88" s="62" t="s">
        <v>1130</v>
      </c>
      <c r="B88" s="62" t="s">
        <v>838</v>
      </c>
      <c r="C88" s="62" t="s">
        <v>839</v>
      </c>
      <c r="D88" s="62"/>
      <c r="E88" s="62" t="s">
        <v>827</v>
      </c>
      <c r="F88" s="62" t="s">
        <v>1069</v>
      </c>
      <c r="G88" s="62" t="s">
        <v>164</v>
      </c>
      <c r="H88" s="62" t="s">
        <v>529</v>
      </c>
      <c r="I88" s="62" t="s">
        <v>807</v>
      </c>
      <c r="J88" s="62" t="s">
        <v>338</v>
      </c>
      <c r="K88" s="62" t="s">
        <v>814</v>
      </c>
      <c r="L88" s="62"/>
      <c r="M88" s="62" t="s">
        <v>1131</v>
      </c>
      <c r="N88" s="63"/>
      <c r="O88" s="62"/>
      <c r="P88" s="63">
        <v>46250.666666666664</v>
      </c>
      <c r="Q88" s="62" t="s">
        <v>165</v>
      </c>
      <c r="R88" s="62" t="s">
        <v>166</v>
      </c>
      <c r="S88" s="62" t="s">
        <v>1132</v>
      </c>
    </row>
    <row r="89" spans="1:19" ht="45.95" customHeight="1">
      <c r="A89" s="62" t="s">
        <v>1140</v>
      </c>
      <c r="B89" s="62" t="s">
        <v>838</v>
      </c>
      <c r="C89" s="62" t="s">
        <v>839</v>
      </c>
      <c r="D89" s="62"/>
      <c r="E89" s="62" t="s">
        <v>827</v>
      </c>
      <c r="F89" s="62" t="s">
        <v>1069</v>
      </c>
      <c r="G89" s="62" t="s">
        <v>173</v>
      </c>
      <c r="H89" s="62" t="s">
        <v>529</v>
      </c>
      <c r="I89" s="62" t="s">
        <v>813</v>
      </c>
      <c r="J89" s="62" t="s">
        <v>338</v>
      </c>
      <c r="K89" s="62" t="s">
        <v>814</v>
      </c>
      <c r="L89" s="62"/>
      <c r="M89" s="62" t="s">
        <v>1141</v>
      </c>
      <c r="N89" s="63"/>
      <c r="O89" s="62"/>
      <c r="P89" s="63">
        <v>46250.666666666664</v>
      </c>
      <c r="Q89" s="62" t="s">
        <v>174</v>
      </c>
      <c r="R89" s="62" t="s">
        <v>607</v>
      </c>
      <c r="S89" s="62" t="s">
        <v>1142</v>
      </c>
    </row>
    <row r="90" spans="1:19" ht="45.95" customHeight="1">
      <c r="A90" s="62" t="s">
        <v>1205</v>
      </c>
      <c r="B90" s="62" t="s">
        <v>838</v>
      </c>
      <c r="C90" s="62" t="s">
        <v>839</v>
      </c>
      <c r="D90" s="62"/>
      <c r="E90" s="62" t="s">
        <v>827</v>
      </c>
      <c r="F90" s="62" t="s">
        <v>1069</v>
      </c>
      <c r="G90" s="62" t="s">
        <v>220</v>
      </c>
      <c r="H90" s="62" t="s">
        <v>529</v>
      </c>
      <c r="I90" s="62" t="s">
        <v>807</v>
      </c>
      <c r="J90" s="62" t="s">
        <v>338</v>
      </c>
      <c r="K90" s="62" t="s">
        <v>808</v>
      </c>
      <c r="L90" s="62" t="s">
        <v>997</v>
      </c>
      <c r="M90" s="62" t="str">
        <v>Continue the functioning review site. Return to CCBill when review-ready; confirm direct-payment terms before integration. Wallet assessment/build are future work. PLAN.md §20.</v>
      </c>
      <c r="N90" s="63"/>
      <c r="O90" s="62" t="str">
        <v>Initial CCBill inquiry record; Sept 13 final wallet deferral; PLAN.md Phase 6/§20 and HANDOFF.md.</v>
      </c>
      <c r="P90" s="63" t="n">
        <v>46278</v>
      </c>
      <c r="Q90" s="62" t="s">
        <v>1208</v>
      </c>
      <c r="R90" s="62" t="str">
        <v>Sales replied; functioning site required. Founder deferred wallets to future and resumed questionnaire. Candidate preserved; no active wallet assessment/build. Provider approval and payment backend pending.</v>
      </c>
      <c r="S90" s="62" t="s">
        <v>1210</v>
      </c>
    </row>
    <row r="91" spans="1:19" ht="45.95" customHeight="1">
      <c r="A91" s="62" t="s">
        <v>1211</v>
      </c>
      <c r="B91" s="62" t="s">
        <v>838</v>
      </c>
      <c r="C91" s="62" t="s">
        <v>839</v>
      </c>
      <c r="D91" s="62"/>
      <c r="E91" s="62" t="s">
        <v>827</v>
      </c>
      <c r="F91" s="62" t="s">
        <v>1069</v>
      </c>
      <c r="G91" s="62" t="s">
        <v>222</v>
      </c>
      <c r="H91" s="62" t="s">
        <v>532</v>
      </c>
      <c r="I91" s="62" t="s">
        <v>836</v>
      </c>
      <c r="J91" s="62" t="s">
        <v>338</v>
      </c>
      <c r="K91" s="62" t="s">
        <v>808</v>
      </c>
      <c r="L91" s="62" t="s">
        <v>997</v>
      </c>
      <c r="M91" s="62" t="s">
        <v>1212</v>
      </c>
      <c r="N91" s="63"/>
      <c r="O91" s="62"/>
      <c r="P91" s="63">
        <v>46275.666666666664</v>
      </c>
      <c r="Q91" s="62" t="s">
        <v>223</v>
      </c>
      <c r="R91" s="62" t="s">
        <v>1213</v>
      </c>
      <c r="S91" s="62" t="s">
        <v>1214</v>
      </c>
    </row>
    <row r="92" spans="1:19" ht="45.95" customHeight="1">
      <c r="A92" s="62" t="s">
        <v>1215</v>
      </c>
      <c r="B92" s="62" t="s">
        <v>838</v>
      </c>
      <c r="C92" s="62" t="s">
        <v>839</v>
      </c>
      <c r="D92" s="62"/>
      <c r="E92" s="62" t="s">
        <v>827</v>
      </c>
      <c r="F92" s="62" t="s">
        <v>1069</v>
      </c>
      <c r="G92" s="62" t="s">
        <v>224</v>
      </c>
      <c r="H92" s="62" t="s">
        <v>532</v>
      </c>
      <c r="I92" s="62" t="s">
        <v>836</v>
      </c>
      <c r="J92" s="62" t="s">
        <v>338</v>
      </c>
      <c r="K92" s="62" t="s">
        <v>814</v>
      </c>
      <c r="L92" s="62" t="s">
        <v>997</v>
      </c>
      <c r="M92" s="62" t="s">
        <v>1216</v>
      </c>
      <c r="N92" s="63"/>
      <c r="O92" s="62"/>
      <c r="P92" s="63">
        <v>46275.666666666664</v>
      </c>
      <c r="Q92" s="62" t="s">
        <v>225</v>
      </c>
      <c r="R92" s="62" t="s">
        <v>1217</v>
      </c>
      <c r="S92" s="62" t="s">
        <v>1218</v>
      </c>
    </row>
    <row r="93" spans="1:19" ht="45.95" customHeight="1">
      <c r="A93" s="62" t="s">
        <v>1219</v>
      </c>
      <c r="B93" s="62" t="s">
        <v>838</v>
      </c>
      <c r="C93" s="62" t="s">
        <v>839</v>
      </c>
      <c r="D93" s="62"/>
      <c r="E93" s="62" t="s">
        <v>827</v>
      </c>
      <c r="F93" s="62" t="s">
        <v>1069</v>
      </c>
      <c r="G93" s="62" t="s">
        <v>226</v>
      </c>
      <c r="H93" s="62" t="s">
        <v>532</v>
      </c>
      <c r="I93" s="62" t="s">
        <v>836</v>
      </c>
      <c r="J93" s="62" t="s">
        <v>368</v>
      </c>
      <c r="K93" s="62" t="s">
        <v>814</v>
      </c>
      <c r="L93" s="62" t="s">
        <v>997</v>
      </c>
      <c r="M93" s="62" t="str">
        <v>Confirm processor-supported billing/cancellation flow, cutoff and account setup; implement trusted events and test cancellation, expiry and confirmation. PLAN.md §20 Q23.</v>
      </c>
      <c r="N93" s="63"/>
      <c r="O93" s="62" t="str">
        <v>Founder approval Sept 13; PLAN.md §20 Q23 and cited Fansly/CCBill sources.</v>
      </c>
      <c r="P93" s="63" t="n">
        <v>46278</v>
      </c>
      <c r="Q93" s="62" t="s">
        <v>227</v>
      </c>
      <c r="R93" s="62" t="str">
        <v>CCBill review-site preparation underway. Q23 cancellation approved: paid-term access, refund exceptions and confirmation. Cutoff unconfirmed; recurring billing, webhooks and cancellation remain unimplemented.</v>
      </c>
      <c r="S93" s="62" t="s">
        <v>1222</v>
      </c>
    </row>
    <row r="94" spans="1:19" ht="45.95" customHeight="1">
      <c r="A94" s="62" t="s">
        <v>1223</v>
      </c>
      <c r="B94" s="62" t="s">
        <v>838</v>
      </c>
      <c r="C94" s="62" t="s">
        <v>839</v>
      </c>
      <c r="D94" s="62"/>
      <c r="E94" s="62" t="s">
        <v>827</v>
      </c>
      <c r="F94" s="62" t="s">
        <v>1069</v>
      </c>
      <c r="G94" s="62" t="s">
        <v>228</v>
      </c>
      <c r="H94" s="62" t="s">
        <v>532</v>
      </c>
      <c r="I94" s="62" t="s">
        <v>836</v>
      </c>
      <c r="J94" s="62" t="s">
        <v>338</v>
      </c>
      <c r="K94" s="62" t="s">
        <v>814</v>
      </c>
      <c r="L94" s="62"/>
      <c r="M94" s="62" t="s">
        <v>970</v>
      </c>
      <c r="N94" s="63"/>
      <c r="O94" s="62"/>
      <c r="P94" s="63">
        <v>46250.666666666664</v>
      </c>
      <c r="Q94" s="62" t="s">
        <v>229</v>
      </c>
      <c r="R94" s="62" t="s">
        <v>230</v>
      </c>
      <c r="S94" s="62" t="s">
        <v>1224</v>
      </c>
    </row>
    <row r="95" spans="1:19" ht="45.95" customHeight="1">
      <c r="A95" s="62" t="s">
        <v>1225</v>
      </c>
      <c r="B95" s="62" t="s">
        <v>838</v>
      </c>
      <c r="C95" s="62" t="s">
        <v>839</v>
      </c>
      <c r="D95" s="62"/>
      <c r="E95" s="62" t="s">
        <v>827</v>
      </c>
      <c r="F95" s="62" t="s">
        <v>1069</v>
      </c>
      <c r="G95" s="62" t="s">
        <v>231</v>
      </c>
      <c r="H95" s="62" t="s">
        <v>532</v>
      </c>
      <c r="I95" s="62" t="s">
        <v>836</v>
      </c>
      <c r="J95" s="62" t="s">
        <v>698</v>
      </c>
      <c r="K95" s="62" t="s">
        <v>814</v>
      </c>
      <c r="L95" s="62"/>
      <c r="M95" s="62" t="str">
        <v>Confirm processor retry/expiry semantics; implement trusted paid-through access and recovery after payment. Test that failure does not revoke other purchases. PLAN.md §20 Q25.</v>
      </c>
      <c r="N95" s="63"/>
      <c r="O95" s="62" t="str">
        <v>Founder approval Sept 13; PLAN.md §20 Q25 and cited CCBill event documentation.</v>
      </c>
      <c r="P95" s="63" t="n">
        <v>46278</v>
      </c>
      <c r="Q95" s="62" t="s">
        <v>232</v>
      </c>
      <c r="R95" s="62" t="str">
        <v>Q25 approved: no automatic unpaid pilot grace. Retain paid access; pause affected subscription at expiry until payment confirmed. No whole-account suspension or loss of other purchases. Retry/status details pending.</v>
      </c>
      <c r="S95" s="62" t="s">
        <v>1226</v>
      </c>
    </row>
    <row r="96" spans="1:19" ht="45.95" customHeight="1">
      <c r="A96" s="62" t="s">
        <v>1227</v>
      </c>
      <c r="B96" s="62" t="s">
        <v>838</v>
      </c>
      <c r="C96" s="62" t="s">
        <v>839</v>
      </c>
      <c r="D96" s="62"/>
      <c r="E96" s="62" t="s">
        <v>827</v>
      </c>
      <c r="F96" s="62" t="s">
        <v>1069</v>
      </c>
      <c r="G96" s="62" t="s">
        <v>234</v>
      </c>
      <c r="H96" s="62" t="s">
        <v>532</v>
      </c>
      <c r="I96" s="62" t="s">
        <v>836</v>
      </c>
      <c r="J96" s="62" t="s">
        <v>368</v>
      </c>
      <c r="K96" s="62" t="s">
        <v>808</v>
      </c>
      <c r="L96" s="62" t="s">
        <v>1010</v>
      </c>
      <c r="M96" s="62" t="str">
        <v>Design payout flow under Q134–147: eligibility, holds, fees and final settlement, including below-minimum balances. Confirm providers.</v>
      </c>
      <c r="N96" s="63"/>
      <c r="O96" s="62" t="str">
        <v>Q147 approved Sept 22, 2026. PLAN §§3.8,20; earlier payout policies retained. Provider details and implementation pending.</v>
      </c>
      <c r="P96" s="63" t="n">
        <v>46287</v>
      </c>
      <c r="Q96" s="62" t="s">
        <v>235</v>
      </c>
      <c r="R96" s="62" t="str">
        <v>Approved policy only. Preserve payable balances after closure; final methods, fees and below-minimum resolution need legal/provider review.</v>
      </c>
      <c r="S96" s="62" t="s">
        <v>1228</v>
      </c>
    </row>
    <row r="97" spans="1:19" ht="45.95" customHeight="1">
      <c r="A97" s="62" t="s">
        <v>1229</v>
      </c>
      <c r="B97" s="62" t="s">
        <v>838</v>
      </c>
      <c r="C97" s="62" t="s">
        <v>839</v>
      </c>
      <c r="D97" s="62"/>
      <c r="E97" s="62" t="s">
        <v>827</v>
      </c>
      <c r="F97" s="62" t="s">
        <v>1069</v>
      </c>
      <c r="G97" s="62" t="s">
        <v>237</v>
      </c>
      <c r="H97" s="62" t="s">
        <v>532</v>
      </c>
      <c r="I97" s="62" t="s">
        <v>836</v>
      </c>
      <c r="J97" s="62" t="s">
        <v>368</v>
      </c>
      <c r="K97" s="62" t="s">
        <v>808</v>
      </c>
      <c r="L97" s="62" t="s">
        <v>997</v>
      </c>
      <c r="M97" s="62" t="str">
        <v>Validate Q131 20/80 target against actual provider and operating costs. Founders use standard commission. Final commercial terms pending.</v>
      </c>
      <c r="N97" s="63"/>
      <c r="O97" s="62" t="str">
        <v>Q131–132 approved Sept 22. PLAN.md §3.8 and §20. No provider quote or live payment approval.</v>
      </c>
      <c r="P97" s="63" t="n">
        <v>46287</v>
      </c>
      <c r="Q97" s="62" t="str">
        <v>20% platform / 80% creator target excluding sales tax/VAT; ordinary processing costs from platform share. Same commission for Founders.</v>
      </c>
      <c r="R97" s="62" t="str">
        <v>Validate sustainability before a firm offer or live payments. Refund/chargeback allocation, payout fees and paid-session commission pending.</v>
      </c>
      <c r="S97" s="62" t="s">
        <v>1230</v>
      </c>
    </row>
    <row r="98" spans="1:19" ht="45.95" customHeight="1">
      <c r="A98" s="62" t="s">
        <v>1231</v>
      </c>
      <c r="B98" s="62" t="s">
        <v>838</v>
      </c>
      <c r="C98" s="62" t="s">
        <v>839</v>
      </c>
      <c r="D98" s="62"/>
      <c r="E98" s="62" t="s">
        <v>827</v>
      </c>
      <c r="F98" s="62" t="s">
        <v>1069</v>
      </c>
      <c r="G98" s="62" t="s">
        <v>239</v>
      </c>
      <c r="H98" s="62" t="s">
        <v>532</v>
      </c>
      <c r="I98" s="62" t="s">
        <v>836</v>
      </c>
      <c r="J98" s="62" t="s">
        <v>698</v>
      </c>
      <c r="K98" s="62" t="s">
        <v>814</v>
      </c>
      <c r="L98" s="62" t="s">
        <v>997</v>
      </c>
      <c r="M98" s="62" t="str">
        <v>Implement Q28/Q139 after legal/provider review: verified events, share reversals, platform-error protection, recovery, appeals and audit.</v>
      </c>
      <c r="N98" s="63"/>
      <c r="O98" s="62" t="str">
        <v>Q28 approved Sept 14; Q139 approved Sept 22, 2026. PLAN §20. Provider review and build/tests pending.</v>
      </c>
      <c r="P98" s="63" t="n">
        <v>46287</v>
      </c>
      <c r="Q98" s="62" t="s">
        <v>240</v>
      </c>
      <c r="R98" s="62" t="str">
        <v>Q28: review disputed access; keep unrelated valid purchases. No penalty solely for good-faith disputes. Broader restrictions need justification. Legal/processor review, integration and handling pending.</v>
      </c>
      <c r="S98" s="62" t="s">
        <v>1234</v>
      </c>
    </row>
    <row r="99" spans="1:19" ht="45.95" customHeight="1">
      <c r="A99" s="62" t="s">
        <v>1316</v>
      </c>
      <c r="B99" s="62" t="s">
        <v>838</v>
      </c>
      <c r="C99" s="62" t="s">
        <v>839</v>
      </c>
      <c r="D99" s="62"/>
      <c r="E99" s="62" t="s">
        <v>827</v>
      </c>
      <c r="F99" s="62" t="s">
        <v>1069</v>
      </c>
      <c r="G99" s="62" t="s">
        <v>637</v>
      </c>
      <c r="H99" s="62" t="s">
        <v>532</v>
      </c>
      <c r="I99" s="62" t="s">
        <v>836</v>
      </c>
      <c r="J99" s="62" t="s">
        <v>698</v>
      </c>
      <c r="K99" s="62" t="s">
        <v>814</v>
      </c>
      <c r="L99" s="62"/>
      <c r="M99" s="62" t="s">
        <v>1317</v>
      </c>
      <c r="N99" s="63"/>
      <c r="O99" s="62"/>
      <c r="P99" s="63">
        <v>46274.666666666664</v>
      </c>
      <c r="Q99" s="62" t="s">
        <v>1318</v>
      </c>
      <c r="R99" s="62" t="s">
        <v>1319</v>
      </c>
      <c r="S99" s="62" t="s">
        <v>1320</v>
      </c>
    </row>
    <row r="100" spans="1:19" ht="45.95" customHeight="1">
      <c r="A100" s="62" t="s">
        <v>1321</v>
      </c>
      <c r="B100" s="62" t="s">
        <v>838</v>
      </c>
      <c r="C100" s="62" t="s">
        <v>839</v>
      </c>
      <c r="D100" s="62"/>
      <c r="E100" s="62" t="s">
        <v>827</v>
      </c>
      <c r="F100" s="62" t="s">
        <v>1069</v>
      </c>
      <c r="G100" s="62" t="s">
        <v>640</v>
      </c>
      <c r="H100" s="62" t="s">
        <v>532</v>
      </c>
      <c r="I100" s="62" t="s">
        <v>836</v>
      </c>
      <c r="J100" s="62" t="s">
        <v>338</v>
      </c>
      <c r="K100" s="62" t="s">
        <v>814</v>
      </c>
      <c r="L100" s="62"/>
      <c r="M100" s="62" t="str">
        <v>Confirm processor terms; implement hosted checkout, verified payment, retained purchased versions and buyer access after creator delisting. Test required removals separately. PLAN.md §20 Q26.</v>
      </c>
      <c r="N100" s="63"/>
      <c r="O100" s="62" t="str">
        <v>Founder approval Sept 13; PLAN.md §20 Q26 and cited Fansly sold-media guidance.</v>
      </c>
      <c r="P100" s="63" t="n">
        <v>46278</v>
      </c>
      <c r="Q100" s="62" t="str">
        <v>One-off hosted checkout for individual photos/videos or bundles; verified payment grants ongoing access to the purchased version. Ordinary creator delisting preserves buyer access.</v>
      </c>
      <c r="R100" s="62" t="str">
        <v>Q26 approved: no scheduled purchase expiry. Retain media and buyer grants after ordinary delisting; legal/safety removals and Terms/Refund Policy still apply. Processor approval and paid flow remain pending.</v>
      </c>
      <c r="S100" s="62" t="s">
        <v>1325</v>
      </c>
    </row>
    <row r="101" spans="1:19" ht="45.95" customHeight="1">
      <c r="A101" s="62" t="s">
        <v>1363</v>
      </c>
      <c r="B101" s="62" t="s">
        <v>838</v>
      </c>
      <c r="C101" s="62" t="s">
        <v>839</v>
      </c>
      <c r="D101" s="62"/>
      <c r="E101" s="62" t="s">
        <v>827</v>
      </c>
      <c r="F101" s="62" t="s">
        <v>1069</v>
      </c>
      <c r="G101" s="62" t="s">
        <v>677</v>
      </c>
      <c r="H101" s="62" t="s">
        <v>532</v>
      </c>
      <c r="I101" s="62" t="s">
        <v>836</v>
      </c>
      <c r="J101" s="62" t="s">
        <v>368</v>
      </c>
      <c r="K101" s="62" t="s">
        <v>808</v>
      </c>
      <c r="L101" s="62" t="s">
        <v>997</v>
      </c>
      <c r="M101" s="62" t="str">
        <v>Model Q131 and Q139–141 allocations using actual provider costs, including failed recoveries and optional Founders event budgets.</v>
      </c>
      <c r="N101" s="63"/>
      <c r="O101" s="62" t="str">
        <v>Q131/Q132/Q139–141 approved Sept 22, 2026. Actual provider fees and cost validation remain pending. PLAN §§3.8,20.</v>
      </c>
      <c r="P101" s="63" t="n">
        <v>46287</v>
      </c>
      <c r="Q101" s="62" t="str">
        <v>Validate standard commission and payout economics, including programme costs. No Founders discount or commission exemption.</v>
      </c>
      <c r="R101" s="62" t="str">
        <v>20/80 is an approved target, not proven profitability. Prize amounts and recurring event spend are not approved.</v>
      </c>
      <c r="S101" s="62" t="s">
        <v>1364</v>
      </c>
    </row>
    <row r="102" spans="1:19" ht="45.95" customHeight="1">
      <c r="A102" s="62" t="s">
        <v>1379</v>
      </c>
      <c r="B102" s="62" t="s">
        <v>838</v>
      </c>
      <c r="C102" s="62" t="s">
        <v>839</v>
      </c>
      <c r="D102" s="62"/>
      <c r="E102" s="62" t="s">
        <v>827</v>
      </c>
      <c r="F102" s="62" t="s">
        <v>1069</v>
      </c>
      <c r="G102" s="62" t="s">
        <v>692</v>
      </c>
      <c r="H102" s="62" t="s">
        <v>532</v>
      </c>
      <c r="I102" s="62" t="s">
        <v>836</v>
      </c>
      <c r="J102" s="62" t="s">
        <v>368</v>
      </c>
      <c r="K102" s="62" t="s">
        <v>808</v>
      </c>
      <c r="L102" s="62"/>
      <c r="M102" s="62" t="s">
        <v>1380</v>
      </c>
      <c r="N102" s="63"/>
      <c r="O102" s="62"/>
      <c r="P102" s="63">
        <v>46275.666666666664</v>
      </c>
      <c r="Q102" s="62" t="s">
        <v>693</v>
      </c>
      <c r="R102" s="62" t="s">
        <v>1381</v>
      </c>
      <c r="S102" s="62" t="s">
        <v>1382</v>
      </c>
    </row>
    <row r="103" spans="1:19" ht="45.95" customHeight="1">
      <c r="A103" s="62" t="s">
        <v>1439</v>
      </c>
      <c r="B103" s="62" t="s">
        <v>841</v>
      </c>
      <c r="C103" s="62" t="s">
        <v>842</v>
      </c>
      <c r="D103" s="62" t="s">
        <v>1440</v>
      </c>
      <c r="E103" s="62" t="s">
        <v>815</v>
      </c>
      <c r="F103" s="62" t="s">
        <v>1441</v>
      </c>
      <c r="G103" s="62" t="s">
        <v>1442</v>
      </c>
      <c r="H103" s="62" t="s">
        <v>531</v>
      </c>
      <c r="I103" s="62" t="s">
        <v>836</v>
      </c>
      <c r="J103" s="62" t="s">
        <v>368</v>
      </c>
      <c r="K103" s="62" t="s">
        <v>814</v>
      </c>
      <c r="L103" s="62" t="s">
        <v>1443</v>
      </c>
      <c r="M103" s="62" t="s">
        <v>1444</v>
      </c>
      <c r="N103" s="63"/>
      <c r="O103" s="62" t="s">
        <v>915</v>
      </c>
      <c r="P103" s="63">
        <v>46274.666666666664</v>
      </c>
      <c r="Q103" s="62" t="s">
        <v>1445</v>
      </c>
      <c r="R103" s="62" t="s">
        <v>1446</v>
      </c>
      <c r="S103" s="62" t="s">
        <v>1447</v>
      </c>
    </row>
    <row r="104" spans="1:19" ht="45.95" customHeight="1">
      <c r="A104" s="62" t="s">
        <v>1120</v>
      </c>
      <c r="B104" s="62" t="s">
        <v>843</v>
      </c>
      <c r="C104" s="62" t="s">
        <v>844</v>
      </c>
      <c r="D104" s="62"/>
      <c r="E104" s="62" t="s">
        <v>827</v>
      </c>
      <c r="F104" s="62" t="s">
        <v>844</v>
      </c>
      <c r="G104" s="62" t="s">
        <v>152</v>
      </c>
      <c r="H104" s="62" t="s">
        <v>528</v>
      </c>
      <c r="I104" s="62" t="s">
        <v>813</v>
      </c>
      <c r="J104" s="62" t="s">
        <v>350</v>
      </c>
      <c r="K104" s="62" t="s">
        <v>814</v>
      </c>
      <c r="L104" s="62"/>
      <c r="M104" s="62" t="s">
        <v>959</v>
      </c>
      <c r="N104" s="63"/>
      <c r="O104" s="62"/>
      <c r="P104" s="63">
        <v>46250.666666666664</v>
      </c>
      <c r="Q104" s="62" t="s">
        <v>153</v>
      </c>
      <c r="R104" s="62" t="s">
        <v>154</v>
      </c>
      <c r="S104" s="62" t="s">
        <v>1121</v>
      </c>
    </row>
    <row r="105" spans="1:19" ht="45.95" customHeight="1">
      <c r="A105" s="62" t="s">
        <v>1125</v>
      </c>
      <c r="B105" s="62" t="s">
        <v>843</v>
      </c>
      <c r="C105" s="62" t="s">
        <v>844</v>
      </c>
      <c r="D105" s="62"/>
      <c r="E105" s="62" t="s">
        <v>827</v>
      </c>
      <c r="F105" s="62" t="s">
        <v>844</v>
      </c>
      <c r="G105" s="62" t="s">
        <v>158</v>
      </c>
      <c r="H105" s="62" t="s">
        <v>529</v>
      </c>
      <c r="I105" s="62" t="s">
        <v>813</v>
      </c>
      <c r="J105" s="62" t="s">
        <v>338</v>
      </c>
      <c r="K105" s="62" t="s">
        <v>814</v>
      </c>
      <c r="L105" s="62"/>
      <c r="M105" s="62" t="s">
        <v>1126</v>
      </c>
      <c r="N105" s="63"/>
      <c r="O105" s="62"/>
      <c r="P105" s="63">
        <v>46250.666666666664</v>
      </c>
      <c r="Q105" s="62" t="s">
        <v>159</v>
      </c>
      <c r="R105" s="62" t="s">
        <v>160</v>
      </c>
      <c r="S105" s="62" t="s">
        <v>1127</v>
      </c>
    </row>
    <row r="106" spans="1:19" ht="45.95" customHeight="1">
      <c r="A106" s="62" t="s">
        <v>1128</v>
      </c>
      <c r="B106" s="62" t="s">
        <v>843</v>
      </c>
      <c r="C106" s="62" t="s">
        <v>844</v>
      </c>
      <c r="D106" s="62"/>
      <c r="E106" s="62" t="s">
        <v>827</v>
      </c>
      <c r="F106" s="62" t="s">
        <v>844</v>
      </c>
      <c r="G106" s="62" t="s">
        <v>161</v>
      </c>
      <c r="H106" s="62" t="s">
        <v>528</v>
      </c>
      <c r="I106" s="62" t="s">
        <v>825</v>
      </c>
      <c r="J106" s="62" t="s">
        <v>350</v>
      </c>
      <c r="K106" s="62" t="s">
        <v>814</v>
      </c>
      <c r="L106" s="62"/>
      <c r="M106" s="62" t="s">
        <v>959</v>
      </c>
      <c r="N106" s="63"/>
      <c r="O106" s="62"/>
      <c r="P106" s="63">
        <v>46250.666666666664</v>
      </c>
      <c r="Q106" s="62" t="s">
        <v>162</v>
      </c>
      <c r="R106" s="62" t="s">
        <v>163</v>
      </c>
      <c r="S106" s="62" t="s">
        <v>1129</v>
      </c>
    </row>
    <row r="107" spans="1:19" ht="45.95" customHeight="1">
      <c r="A107" s="62" t="s">
        <v>1135</v>
      </c>
      <c r="B107" s="62" t="s">
        <v>843</v>
      </c>
      <c r="C107" s="62" t="s">
        <v>844</v>
      </c>
      <c r="D107" s="62"/>
      <c r="E107" s="62" t="s">
        <v>827</v>
      </c>
      <c r="F107" s="62" t="s">
        <v>844</v>
      </c>
      <c r="G107" s="62" t="s">
        <v>169</v>
      </c>
      <c r="H107" s="62" t="s">
        <v>528</v>
      </c>
      <c r="I107" s="62" t="s">
        <v>825</v>
      </c>
      <c r="J107" s="62" t="s">
        <v>350</v>
      </c>
      <c r="K107" s="62" t="s">
        <v>814</v>
      </c>
      <c r="L107" s="62"/>
      <c r="M107" s="62" t="s">
        <v>959</v>
      </c>
      <c r="N107" s="63"/>
      <c r="O107" s="62"/>
      <c r="P107" s="63">
        <v>46250.666666666664</v>
      </c>
      <c r="Q107" s="62" t="s">
        <v>170</v>
      </c>
      <c r="R107" s="62" t="s">
        <v>163</v>
      </c>
      <c r="S107" s="62" t="s">
        <v>1136</v>
      </c>
    </row>
    <row r="108" spans="1:19" ht="45.95" customHeight="1">
      <c r="A108" s="62" t="s">
        <v>1143</v>
      </c>
      <c r="B108" s="62" t="s">
        <v>843</v>
      </c>
      <c r="C108" s="62" t="s">
        <v>844</v>
      </c>
      <c r="D108" s="62"/>
      <c r="E108" s="62" t="s">
        <v>827</v>
      </c>
      <c r="F108" s="62" t="s">
        <v>844</v>
      </c>
      <c r="G108" s="62" t="s">
        <v>175</v>
      </c>
      <c r="H108" s="62" t="s">
        <v>529</v>
      </c>
      <c r="I108" s="62" t="s">
        <v>813</v>
      </c>
      <c r="J108" s="62" t="s">
        <v>698</v>
      </c>
      <c r="K108" s="62" t="s">
        <v>814</v>
      </c>
      <c r="L108" s="62"/>
      <c r="M108" s="62" t="s">
        <v>1144</v>
      </c>
      <c r="N108" s="63"/>
      <c r="O108" s="62"/>
      <c r="P108" s="63">
        <v>46250.666666666664</v>
      </c>
      <c r="Q108" s="62" t="s">
        <v>176</v>
      </c>
      <c r="R108" s="62" t="s">
        <v>608</v>
      </c>
      <c r="S108" s="62" t="s">
        <v>1145</v>
      </c>
    </row>
    <row r="109" spans="1:19" ht="45.95" customHeight="1">
      <c r="A109" s="62" t="s">
        <v>1146</v>
      </c>
      <c r="B109" s="62" t="s">
        <v>843</v>
      </c>
      <c r="C109" s="62" t="s">
        <v>844</v>
      </c>
      <c r="D109" s="62"/>
      <c r="E109" s="62" t="s">
        <v>827</v>
      </c>
      <c r="F109" s="62" t="s">
        <v>844</v>
      </c>
      <c r="G109" s="62" t="s">
        <v>177</v>
      </c>
      <c r="H109" s="62" t="s">
        <v>529</v>
      </c>
      <c r="I109" s="62" t="s">
        <v>813</v>
      </c>
      <c r="J109" s="62" t="s">
        <v>698</v>
      </c>
      <c r="K109" s="62" t="s">
        <v>814</v>
      </c>
      <c r="L109" s="62"/>
      <c r="M109" s="62" t="s">
        <v>1147</v>
      </c>
      <c r="N109" s="63"/>
      <c r="O109" s="62"/>
      <c r="P109" s="63">
        <v>46271.666666666664</v>
      </c>
      <c r="Q109" s="62" t="s">
        <v>1148</v>
      </c>
      <c r="R109" s="62" t="s">
        <v>1149</v>
      </c>
      <c r="S109" s="62" t="s">
        <v>1150</v>
      </c>
    </row>
    <row r="110" spans="1:19" ht="45.95" customHeight="1">
      <c r="A110" s="62" t="s">
        <v>1164</v>
      </c>
      <c r="B110" s="62" t="s">
        <v>843</v>
      </c>
      <c r="C110" s="62" t="s">
        <v>844</v>
      </c>
      <c r="D110" s="62" t="s">
        <v>1165</v>
      </c>
      <c r="E110" s="62" t="s">
        <v>827</v>
      </c>
      <c r="F110" s="62" t="s">
        <v>844</v>
      </c>
      <c r="G110" s="62" t="s">
        <v>185</v>
      </c>
      <c r="H110" s="62" t="s">
        <v>529</v>
      </c>
      <c r="I110" s="62" t="s">
        <v>813</v>
      </c>
      <c r="J110" s="62" t="s">
        <v>338</v>
      </c>
      <c r="K110" s="62" t="s">
        <v>814</v>
      </c>
      <c r="L110" s="62"/>
      <c r="M110" s="62" t="s">
        <v>1166</v>
      </c>
      <c r="N110" s="63"/>
      <c r="O110" s="62" t="s">
        <v>1167</v>
      </c>
      <c r="P110" s="63">
        <v>46275.666666666664</v>
      </c>
      <c r="Q110" s="62" t="s">
        <v>616</v>
      </c>
      <c r="R110" s="62" t="s">
        <v>1168</v>
      </c>
      <c r="S110" s="62" t="s">
        <v>1169</v>
      </c>
    </row>
    <row r="111" spans="1:19" ht="45.95" customHeight="1">
      <c r="A111" s="62" t="s">
        <v>1179</v>
      </c>
      <c r="B111" s="62" t="s">
        <v>843</v>
      </c>
      <c r="C111" s="62" t="s">
        <v>844</v>
      </c>
      <c r="D111" s="62"/>
      <c r="E111" s="62" t="s">
        <v>827</v>
      </c>
      <c r="F111" s="62" t="s">
        <v>844</v>
      </c>
      <c r="G111" s="62" t="s">
        <v>197</v>
      </c>
      <c r="H111" s="62" t="s">
        <v>528</v>
      </c>
      <c r="I111" s="62" t="s">
        <v>825</v>
      </c>
      <c r="J111" s="62" t="s">
        <v>350</v>
      </c>
      <c r="K111" s="62" t="s">
        <v>814</v>
      </c>
      <c r="L111" s="62"/>
      <c r="M111" s="62" t="s">
        <v>959</v>
      </c>
      <c r="N111" s="63"/>
      <c r="O111" s="62"/>
      <c r="P111" s="63">
        <v>46250.666666666664</v>
      </c>
      <c r="Q111" s="62" t="s">
        <v>1180</v>
      </c>
      <c r="R111" s="62" t="s">
        <v>199</v>
      </c>
      <c r="S111" s="62" t="s">
        <v>1181</v>
      </c>
    </row>
    <row r="112" spans="1:19" ht="45.95" customHeight="1">
      <c r="A112" s="62" t="s">
        <v>1328</v>
      </c>
      <c r="B112" s="62" t="s">
        <v>843</v>
      </c>
      <c r="C112" s="62" t="s">
        <v>844</v>
      </c>
      <c r="D112" s="62"/>
      <c r="E112" s="62" t="s">
        <v>827</v>
      </c>
      <c r="F112" s="62" t="s">
        <v>844</v>
      </c>
      <c r="G112" s="62" t="s">
        <v>645</v>
      </c>
      <c r="H112" s="62" t="s">
        <v>529</v>
      </c>
      <c r="I112" s="62" t="s">
        <v>813</v>
      </c>
      <c r="J112" s="62" t="s">
        <v>368</v>
      </c>
      <c r="K112" s="62" t="s">
        <v>814</v>
      </c>
      <c r="L112" s="62"/>
      <c r="M112" s="62" t="s">
        <v>1329</v>
      </c>
      <c r="N112" s="63"/>
      <c r="O112" s="62"/>
      <c r="P112" s="63">
        <v>46250.666666666664</v>
      </c>
      <c r="Q112" s="62" t="s">
        <v>646</v>
      </c>
      <c r="R112" s="62" t="s">
        <v>647</v>
      </c>
      <c r="S112" s="62" t="s">
        <v>1330</v>
      </c>
    </row>
    <row r="113" spans="1:19" ht="45.95" customHeight="1">
      <c r="A113" s="62" t="s">
        <v>1331</v>
      </c>
      <c r="B113" s="62" t="s">
        <v>843</v>
      </c>
      <c r="C113" s="62" t="s">
        <v>844</v>
      </c>
      <c r="D113" s="62"/>
      <c r="E113" s="62" t="s">
        <v>827</v>
      </c>
      <c r="F113" s="62" t="s">
        <v>844</v>
      </c>
      <c r="G113" s="62" t="s">
        <v>648</v>
      </c>
      <c r="H113" s="62" t="s">
        <v>529</v>
      </c>
      <c r="I113" s="62" t="s">
        <v>813</v>
      </c>
      <c r="J113" s="62" t="s">
        <v>698</v>
      </c>
      <c r="K113" s="62" t="s">
        <v>814</v>
      </c>
      <c r="L113" s="62"/>
      <c r="M113" s="62" t="s">
        <v>1147</v>
      </c>
      <c r="N113" s="63"/>
      <c r="O113" s="62"/>
      <c r="P113" s="63">
        <v>46271.666666666664</v>
      </c>
      <c r="Q113" s="62" t="s">
        <v>1148</v>
      </c>
      <c r="R113" s="62" t="s">
        <v>1149</v>
      </c>
      <c r="S113" s="62" t="s">
        <v>1332</v>
      </c>
    </row>
    <row r="114" spans="1:19" ht="45.95" customHeight="1">
      <c r="A114" s="62" t="s">
        <v>1151</v>
      </c>
      <c r="B114" s="62" t="s">
        <v>845</v>
      </c>
      <c r="C114" s="62" t="s">
        <v>846</v>
      </c>
      <c r="D114" s="62"/>
      <c r="E114" s="62" t="s">
        <v>827</v>
      </c>
      <c r="F114" s="62" t="s">
        <v>846</v>
      </c>
      <c r="G114" s="62" t="s">
        <v>179</v>
      </c>
      <c r="H114" s="62" t="s">
        <v>529</v>
      </c>
      <c r="I114" s="62" t="s">
        <v>813</v>
      </c>
      <c r="J114" s="62" t="s">
        <v>698</v>
      </c>
      <c r="K114" s="62" t="s">
        <v>814</v>
      </c>
      <c r="L114" s="62"/>
      <c r="M114" s="62" t="s">
        <v>1152</v>
      </c>
      <c r="N114" s="63"/>
      <c r="O114" s="62"/>
      <c r="P114" s="63">
        <v>46271.666666666664</v>
      </c>
      <c r="Q114" s="62" t="s">
        <v>610</v>
      </c>
      <c r="R114" s="62" t="s">
        <v>611</v>
      </c>
      <c r="S114" s="62" t="s">
        <v>1153</v>
      </c>
    </row>
    <row r="115" spans="1:19" ht="45.95" customHeight="1">
      <c r="A115" s="62" t="s">
        <v>1174</v>
      </c>
      <c r="B115" s="62" t="s">
        <v>845</v>
      </c>
      <c r="C115" s="62" t="s">
        <v>846</v>
      </c>
      <c r="D115" s="62"/>
      <c r="E115" s="62" t="s">
        <v>827</v>
      </c>
      <c r="F115" s="62" t="s">
        <v>846</v>
      </c>
      <c r="G115" s="62" t="s">
        <v>192</v>
      </c>
      <c r="H115" s="62" t="s">
        <v>528</v>
      </c>
      <c r="I115" s="62" t="s">
        <v>825</v>
      </c>
      <c r="J115" s="62" t="s">
        <v>350</v>
      </c>
      <c r="K115" s="62" t="s">
        <v>814</v>
      </c>
      <c r="L115" s="62"/>
      <c r="M115" s="62" t="s">
        <v>959</v>
      </c>
      <c r="N115" s="63"/>
      <c r="O115" s="62"/>
      <c r="P115" s="63">
        <v>46250.666666666664</v>
      </c>
      <c r="Q115" s="62" t="s">
        <v>193</v>
      </c>
      <c r="R115" s="62" t="s">
        <v>194</v>
      </c>
      <c r="S115" s="62" t="s">
        <v>1175</v>
      </c>
    </row>
    <row r="116" spans="1:19" ht="45.95" customHeight="1">
      <c r="A116" s="62" t="s">
        <v>1275</v>
      </c>
      <c r="B116" s="62" t="s">
        <v>845</v>
      </c>
      <c r="C116" s="62" t="s">
        <v>846</v>
      </c>
      <c r="D116" s="62" t="s">
        <v>1276</v>
      </c>
      <c r="E116" s="62" t="s">
        <v>827</v>
      </c>
      <c r="F116" s="62" t="s">
        <v>846</v>
      </c>
      <c r="G116" s="62" t="s">
        <v>285</v>
      </c>
      <c r="H116" s="62" t="s">
        <v>529</v>
      </c>
      <c r="I116" s="62" t="s">
        <v>807</v>
      </c>
      <c r="J116" s="62" t="s">
        <v>338</v>
      </c>
      <c r="K116" s="62" t="s">
        <v>814</v>
      </c>
      <c r="L116" s="62"/>
      <c r="M116" s="62" t="s">
        <v>1277</v>
      </c>
      <c r="N116" s="63"/>
      <c r="O116" s="62"/>
      <c r="P116" s="63">
        <v>46250.666666666664</v>
      </c>
      <c r="Q116" s="62" t="s">
        <v>286</v>
      </c>
      <c r="R116" s="62" t="s">
        <v>633</v>
      </c>
      <c r="S116" s="62" t="s">
        <v>1278</v>
      </c>
    </row>
    <row r="117" spans="1:19" ht="45.95" customHeight="1">
      <c r="A117" s="62" t="s">
        <v>1326</v>
      </c>
      <c r="B117" s="62" t="s">
        <v>845</v>
      </c>
      <c r="C117" s="62" t="s">
        <v>846</v>
      </c>
      <c r="D117" s="62"/>
      <c r="E117" s="62" t="s">
        <v>827</v>
      </c>
      <c r="F117" s="62" t="s">
        <v>846</v>
      </c>
      <c r="G117" s="62" t="s">
        <v>642</v>
      </c>
      <c r="H117" s="62" t="s">
        <v>532</v>
      </c>
      <c r="I117" s="62" t="s">
        <v>836</v>
      </c>
      <c r="J117" s="62" t="s">
        <v>698</v>
      </c>
      <c r="K117" s="62" t="s">
        <v>814</v>
      </c>
      <c r="L117" s="62"/>
      <c r="M117" s="62" t="s">
        <v>970</v>
      </c>
      <c r="N117" s="63"/>
      <c r="O117" s="62"/>
      <c r="P117" s="63">
        <v>46271.666666666664</v>
      </c>
      <c r="Q117" s="62" t="s">
        <v>643</v>
      </c>
      <c r="R117" s="62" t="s">
        <v>644</v>
      </c>
      <c r="S117" s="62" t="s">
        <v>1327</v>
      </c>
    </row>
    <row r="118" spans="1:19" ht="45.95" customHeight="1">
      <c r="A118" s="62" t="s">
        <v>1176</v>
      </c>
      <c r="B118" s="62" t="s">
        <v>847</v>
      </c>
      <c r="C118" s="62" t="s">
        <v>848</v>
      </c>
      <c r="D118" s="62"/>
      <c r="E118" s="62" t="s">
        <v>827</v>
      </c>
      <c r="F118" s="62" t="s">
        <v>848</v>
      </c>
      <c r="G118" s="62" t="s">
        <v>195</v>
      </c>
      <c r="H118" s="62" t="s">
        <v>529</v>
      </c>
      <c r="I118" s="62" t="s">
        <v>813</v>
      </c>
      <c r="J118" s="62" t="s">
        <v>350</v>
      </c>
      <c r="K118" s="62" t="s">
        <v>814</v>
      </c>
      <c r="L118" s="62"/>
      <c r="M118" s="62" t="s">
        <v>1177</v>
      </c>
      <c r="N118" s="63"/>
      <c r="O118" s="62"/>
      <c r="P118" s="63">
        <v>46250.666666666664</v>
      </c>
      <c r="Q118" s="62" t="s">
        <v>196</v>
      </c>
      <c r="R118" s="62" t="s">
        <v>618</v>
      </c>
      <c r="S118" s="62" t="s">
        <v>1178</v>
      </c>
    </row>
    <row r="119" spans="1:19" ht="45.95" customHeight="1">
      <c r="A119" s="62" t="s">
        <v>1201</v>
      </c>
      <c r="B119" s="62" t="s">
        <v>849</v>
      </c>
      <c r="C119" s="62" t="s">
        <v>850</v>
      </c>
      <c r="D119" s="62"/>
      <c r="E119" s="62" t="s">
        <v>827</v>
      </c>
      <c r="F119" s="62" t="s">
        <v>1202</v>
      </c>
      <c r="G119" s="62" t="s">
        <v>216</v>
      </c>
      <c r="H119" s="62" t="s">
        <v>532</v>
      </c>
      <c r="I119" s="62" t="s">
        <v>836</v>
      </c>
      <c r="J119" s="62" t="s">
        <v>368</v>
      </c>
      <c r="K119" s="62" t="s">
        <v>814</v>
      </c>
      <c r="L119" s="62" t="s">
        <v>1203</v>
      </c>
      <c r="M119" s="62" t="s">
        <v>970</v>
      </c>
      <c r="N119" s="63"/>
      <c r="O119" s="62"/>
      <c r="P119" s="63">
        <v>46250.666666666664</v>
      </c>
      <c r="Q119" s="62" t="s">
        <v>217</v>
      </c>
      <c r="R119" s="62" t="s">
        <v>218</v>
      </c>
      <c r="S119" s="62" t="s">
        <v>1204</v>
      </c>
    </row>
    <row r="120" spans="1:19" ht="45.95" customHeight="1">
      <c r="A120" s="62" t="s">
        <v>1237</v>
      </c>
      <c r="B120" s="62" t="s">
        <v>849</v>
      </c>
      <c r="C120" s="62" t="s">
        <v>850</v>
      </c>
      <c r="D120" s="62"/>
      <c r="E120" s="62" t="s">
        <v>827</v>
      </c>
      <c r="F120" s="62" t="s">
        <v>1202</v>
      </c>
      <c r="G120" s="62" t="s">
        <v>625</v>
      </c>
      <c r="H120" s="62" t="s">
        <v>529</v>
      </c>
      <c r="I120" s="62" t="s">
        <v>813</v>
      </c>
      <c r="J120" s="62" t="s">
        <v>338</v>
      </c>
      <c r="K120" s="62" t="s">
        <v>814</v>
      </c>
      <c r="L120" s="62" t="s">
        <v>1203</v>
      </c>
      <c r="M120" s="62" t="s">
        <v>1238</v>
      </c>
      <c r="N120" s="63"/>
      <c r="O120" s="62"/>
      <c r="P120" s="63">
        <v>46250.666666666664</v>
      </c>
      <c r="Q120" s="62" t="s">
        <v>626</v>
      </c>
      <c r="R120" s="62" t="s">
        <v>627</v>
      </c>
      <c r="S120" s="62" t="s">
        <v>1239</v>
      </c>
    </row>
    <row r="121" spans="1:19" ht="45.95" customHeight="1">
      <c r="A121" s="62" t="s">
        <v>1240</v>
      </c>
      <c r="B121" s="62" t="s">
        <v>849</v>
      </c>
      <c r="C121" s="62" t="s">
        <v>850</v>
      </c>
      <c r="D121" s="62"/>
      <c r="E121" s="62" t="s">
        <v>827</v>
      </c>
      <c r="F121" s="62" t="s">
        <v>1202</v>
      </c>
      <c r="G121" s="62" t="s">
        <v>245</v>
      </c>
      <c r="H121" s="62" t="s">
        <v>532</v>
      </c>
      <c r="I121" s="62" t="s">
        <v>836</v>
      </c>
      <c r="J121" s="62" t="s">
        <v>368</v>
      </c>
      <c r="K121" s="62" t="s">
        <v>814</v>
      </c>
      <c r="L121" s="62" t="s">
        <v>1010</v>
      </c>
      <c r="M121" s="62" t="s">
        <v>970</v>
      </c>
      <c r="N121" s="63"/>
      <c r="O121" s="62"/>
      <c r="P121" s="63">
        <v>46250.666666666664</v>
      </c>
      <c r="Q121" s="62" t="s">
        <v>246</v>
      </c>
      <c r="R121" s="62" t="s">
        <v>247</v>
      </c>
      <c r="S121" s="62" t="s">
        <v>1241</v>
      </c>
    </row>
    <row r="122" spans="1:19" ht="45.95" customHeight="1">
      <c r="A122" s="62" t="s">
        <v>1242</v>
      </c>
      <c r="B122" s="62" t="s">
        <v>849</v>
      </c>
      <c r="C122" s="62" t="s">
        <v>850</v>
      </c>
      <c r="D122" s="62"/>
      <c r="E122" s="62" t="s">
        <v>827</v>
      </c>
      <c r="F122" s="62" t="s">
        <v>1202</v>
      </c>
      <c r="G122" s="62" t="s">
        <v>248</v>
      </c>
      <c r="H122" s="62" t="s">
        <v>532</v>
      </c>
      <c r="I122" s="62" t="s">
        <v>836</v>
      </c>
      <c r="J122" s="62" t="s">
        <v>338</v>
      </c>
      <c r="K122" s="62" t="s">
        <v>814</v>
      </c>
      <c r="L122" s="62" t="s">
        <v>1203</v>
      </c>
      <c r="M122" s="62" t="s">
        <v>970</v>
      </c>
      <c r="N122" s="63"/>
      <c r="O122" s="62"/>
      <c r="P122" s="63">
        <v>46250.666666666664</v>
      </c>
      <c r="Q122" s="62" t="s">
        <v>249</v>
      </c>
      <c r="R122" s="62" t="s">
        <v>250</v>
      </c>
      <c r="S122" s="62" t="s">
        <v>1243</v>
      </c>
    </row>
    <row r="123" spans="1:19" ht="45.95" customHeight="1">
      <c r="A123" s="62" t="s">
        <v>1247</v>
      </c>
      <c r="B123" s="62" t="s">
        <v>849</v>
      </c>
      <c r="C123" s="62" t="s">
        <v>850</v>
      </c>
      <c r="D123" s="62"/>
      <c r="E123" s="62" t="s">
        <v>827</v>
      </c>
      <c r="F123" s="62" t="s">
        <v>1202</v>
      </c>
      <c r="G123" s="62" t="s">
        <v>253</v>
      </c>
      <c r="H123" s="62" t="s">
        <v>532</v>
      </c>
      <c r="I123" s="62" t="s">
        <v>836</v>
      </c>
      <c r="J123" s="62" t="s">
        <v>338</v>
      </c>
      <c r="K123" s="62" t="s">
        <v>814</v>
      </c>
      <c r="L123" s="62" t="s">
        <v>1203</v>
      </c>
      <c r="M123" s="62" t="s">
        <v>970</v>
      </c>
      <c r="N123" s="63"/>
      <c r="O123" s="62"/>
      <c r="P123" s="63">
        <v>46250.666666666664</v>
      </c>
      <c r="Q123" s="62" t="s">
        <v>254</v>
      </c>
      <c r="R123" s="62" t="s">
        <v>255</v>
      </c>
      <c r="S123" s="62" t="s">
        <v>1248</v>
      </c>
    </row>
    <row r="124" spans="1:19" ht="45.95" customHeight="1">
      <c r="A124" s="62" t="s">
        <v>1249</v>
      </c>
      <c r="B124" s="62" t="s">
        <v>849</v>
      </c>
      <c r="C124" s="62" t="s">
        <v>850</v>
      </c>
      <c r="D124" s="62"/>
      <c r="E124" s="62" t="s">
        <v>827</v>
      </c>
      <c r="F124" s="62" t="s">
        <v>1202</v>
      </c>
      <c r="G124" s="62" t="s">
        <v>256</v>
      </c>
      <c r="H124" s="62" t="s">
        <v>532</v>
      </c>
      <c r="I124" s="62" t="s">
        <v>836</v>
      </c>
      <c r="J124" s="62" t="s">
        <v>338</v>
      </c>
      <c r="K124" s="62" t="s">
        <v>814</v>
      </c>
      <c r="L124" s="62" t="s">
        <v>1203</v>
      </c>
      <c r="M124" s="62" t="s">
        <v>970</v>
      </c>
      <c r="N124" s="63"/>
      <c r="O124" s="62"/>
      <c r="P124" s="63">
        <v>46250.666666666664</v>
      </c>
      <c r="Q124" s="62" t="s">
        <v>257</v>
      </c>
      <c r="R124" s="62" t="s">
        <v>258</v>
      </c>
      <c r="S124" s="62" t="s">
        <v>1250</v>
      </c>
    </row>
    <row r="125" spans="1:19" ht="45.95" customHeight="1">
      <c r="A125" s="62" t="s">
        <v>1251</v>
      </c>
      <c r="B125" s="62" t="s">
        <v>849</v>
      </c>
      <c r="C125" s="62" t="s">
        <v>850</v>
      </c>
      <c r="D125" s="62"/>
      <c r="E125" s="62" t="s">
        <v>827</v>
      </c>
      <c r="F125" s="62" t="s">
        <v>1202</v>
      </c>
      <c r="G125" s="62" t="s">
        <v>259</v>
      </c>
      <c r="H125" s="62" t="s">
        <v>532</v>
      </c>
      <c r="I125" s="62" t="s">
        <v>836</v>
      </c>
      <c r="J125" s="62" t="s">
        <v>368</v>
      </c>
      <c r="K125" s="62" t="s">
        <v>814</v>
      </c>
      <c r="L125" s="62" t="s">
        <v>997</v>
      </c>
      <c r="M125" s="62" t="s">
        <v>1252</v>
      </c>
      <c r="N125" s="63"/>
      <c r="O125" s="62"/>
      <c r="P125" s="63">
        <v>46275.666666666664</v>
      </c>
      <c r="Q125" s="62" t="s">
        <v>260</v>
      </c>
      <c r="R125" s="62" t="s">
        <v>1253</v>
      </c>
      <c r="S125" s="62" t="s">
        <v>1254</v>
      </c>
    </row>
    <row r="126" spans="1:19" ht="45.95" customHeight="1">
      <c r="A126" s="62" t="s">
        <v>1255</v>
      </c>
      <c r="B126" s="62" t="s">
        <v>849</v>
      </c>
      <c r="C126" s="62" t="s">
        <v>850</v>
      </c>
      <c r="D126" s="62"/>
      <c r="E126" s="62" t="s">
        <v>827</v>
      </c>
      <c r="F126" s="62" t="s">
        <v>1202</v>
      </c>
      <c r="G126" s="62" t="s">
        <v>261</v>
      </c>
      <c r="H126" s="62" t="s">
        <v>532</v>
      </c>
      <c r="I126" s="62" t="s">
        <v>836</v>
      </c>
      <c r="J126" s="62" t="s">
        <v>338</v>
      </c>
      <c r="K126" s="62" t="s">
        <v>814</v>
      </c>
      <c r="L126" s="62" t="s">
        <v>997</v>
      </c>
      <c r="M126" s="62" t="s">
        <v>1256</v>
      </c>
      <c r="N126" s="63"/>
      <c r="O126" s="62"/>
      <c r="P126" s="63">
        <v>46275.666666666664</v>
      </c>
      <c r="Q126" s="62" t="s">
        <v>630</v>
      </c>
      <c r="R126" s="62" t="s">
        <v>1257</v>
      </c>
      <c r="S126" s="62" t="s">
        <v>1258</v>
      </c>
    </row>
    <row r="127" spans="1:19" ht="45.95" customHeight="1">
      <c r="A127" s="62" t="s">
        <v>1259</v>
      </c>
      <c r="B127" s="62" t="s">
        <v>849</v>
      </c>
      <c r="C127" s="62" t="s">
        <v>850</v>
      </c>
      <c r="D127" s="62"/>
      <c r="E127" s="62" t="s">
        <v>827</v>
      </c>
      <c r="F127" s="62" t="s">
        <v>1202</v>
      </c>
      <c r="G127" s="62" t="str">
        <v>Build Founders admin management</v>
      </c>
      <c r="H127" s="62" t="s">
        <v>532</v>
      </c>
      <c r="I127" s="62" t="s">
        <v>836</v>
      </c>
      <c r="J127" s="62" t="s">
        <v>368</v>
      </c>
      <c r="K127" s="62" t="s">
        <v>814</v>
      </c>
      <c r="L127" s="62" t="s">
        <v>1203</v>
      </c>
      <c r="M127" s="62" t="str">
        <v>After cohort rules and private-operations gates, implement Q133 Founders eligibility and account-lifetime tag management. No fixed cap assumed.</v>
      </c>
      <c r="N127" s="63"/>
      <c r="O127" s="62"/>
      <c r="P127" s="63" t="n">
        <v>46287</v>
      </c>
      <c r="Q127" s="62" t="str">
        <v>Manage Founders eligibility and badge assignment. Enforce a cohort limit only if approved.</v>
      </c>
      <c r="R127" s="62" t="str">
        <v>Q132–133 approved: tag lasts for eligible account life; conditional benefits. Eligibility/cap pending. No member discount or special rate.</v>
      </c>
      <c r="S127" s="62" t="s">
        <v>1260</v>
      </c>
    </row>
    <row r="128" spans="1:19" ht="45.95" customHeight="1">
      <c r="A128" s="62" t="s">
        <v>1261</v>
      </c>
      <c r="B128" s="62" t="s">
        <v>849</v>
      </c>
      <c r="C128" s="62" t="s">
        <v>850</v>
      </c>
      <c r="D128" s="62"/>
      <c r="E128" s="62" t="s">
        <v>827</v>
      </c>
      <c r="F128" s="62" t="s">
        <v>1202</v>
      </c>
      <c r="G128" s="62" t="s">
        <v>265</v>
      </c>
      <c r="H128" s="62" t="s">
        <v>532</v>
      </c>
      <c r="I128" s="62" t="s">
        <v>836</v>
      </c>
      <c r="J128" s="62" t="s">
        <v>368</v>
      </c>
      <c r="K128" s="62" t="s">
        <v>814</v>
      </c>
      <c r="L128" s="62" t="s">
        <v>1010</v>
      </c>
      <c r="M128" s="62" t="s">
        <v>970</v>
      </c>
      <c r="N128" s="63"/>
      <c r="O128" s="62"/>
      <c r="P128" s="63" t="n">
        <v>46287</v>
      </c>
      <c r="Q128" s="62" t="str">
        <v>Configure standard commission, content/feature flags, payout minimums and maintenance. No separate Founders commission setting.</v>
      </c>
      <c r="R128" s="62" t="s">
        <v>267</v>
      </c>
      <c r="S128" s="62" t="s">
        <v>1262</v>
      </c>
    </row>
    <row r="129" spans="1:19" ht="45.95" customHeight="1">
      <c r="A129" s="62" t="s">
        <v>1263</v>
      </c>
      <c r="B129" s="62" t="s">
        <v>849</v>
      </c>
      <c r="C129" s="62" t="s">
        <v>850</v>
      </c>
      <c r="D129" s="62" t="s">
        <v>829</v>
      </c>
      <c r="E129" s="62" t="s">
        <v>827</v>
      </c>
      <c r="F129" s="62" t="s">
        <v>1202</v>
      </c>
      <c r="G129" s="62" t="s">
        <v>268</v>
      </c>
      <c r="H129" s="62" t="s">
        <v>532</v>
      </c>
      <c r="I129" s="62" t="s">
        <v>836</v>
      </c>
      <c r="J129" s="62" t="s">
        <v>698</v>
      </c>
      <c r="K129" s="62" t="s">
        <v>814</v>
      </c>
      <c r="L129" s="62" t="s">
        <v>1203</v>
      </c>
      <c r="M129" s="62" t="s">
        <v>970</v>
      </c>
      <c r="N129" s="63"/>
      <c r="O129" s="62"/>
      <c r="P129" s="63">
        <v>46250.666666666664</v>
      </c>
      <c r="Q129" s="62" t="s">
        <v>269</v>
      </c>
      <c r="R129" s="62" t="s">
        <v>270</v>
      </c>
      <c r="S129" s="62" t="s">
        <v>1264</v>
      </c>
    </row>
    <row r="130" spans="1:19" ht="45.95" customHeight="1">
      <c r="A130" s="62" t="s">
        <v>1265</v>
      </c>
      <c r="B130" s="62" t="s">
        <v>849</v>
      </c>
      <c r="C130" s="62" t="s">
        <v>850</v>
      </c>
      <c r="D130" s="62"/>
      <c r="E130" s="62" t="s">
        <v>827</v>
      </c>
      <c r="F130" s="62" t="s">
        <v>1202</v>
      </c>
      <c r="G130" s="62" t="s">
        <v>271</v>
      </c>
      <c r="H130" s="62" t="s">
        <v>532</v>
      </c>
      <c r="I130" s="62" t="s">
        <v>836</v>
      </c>
      <c r="J130" s="62" t="s">
        <v>338</v>
      </c>
      <c r="K130" s="62" t="s">
        <v>814</v>
      </c>
      <c r="L130" s="62" t="s">
        <v>1203</v>
      </c>
      <c r="M130" s="62" t="s">
        <v>970</v>
      </c>
      <c r="N130" s="63"/>
      <c r="O130" s="62"/>
      <c r="P130" s="63">
        <v>46250.666666666664</v>
      </c>
      <c r="Q130" s="62" t="s">
        <v>272</v>
      </c>
      <c r="R130" s="62" t="s">
        <v>632</v>
      </c>
      <c r="S130" s="62" t="s">
        <v>1266</v>
      </c>
    </row>
    <row r="131" spans="1:19" ht="45.95" customHeight="1">
      <c r="A131" s="62" t="s">
        <v>1269</v>
      </c>
      <c r="B131" s="62" t="s">
        <v>849</v>
      </c>
      <c r="C131" s="62" t="s">
        <v>850</v>
      </c>
      <c r="D131" s="62"/>
      <c r="E131" s="62" t="s">
        <v>827</v>
      </c>
      <c r="F131" s="62" t="s">
        <v>1202</v>
      </c>
      <c r="G131" s="62" t="s">
        <v>276</v>
      </c>
      <c r="H131" s="62" t="s">
        <v>532</v>
      </c>
      <c r="I131" s="62" t="s">
        <v>836</v>
      </c>
      <c r="J131" s="62" t="s">
        <v>338</v>
      </c>
      <c r="K131" s="62" t="s">
        <v>814</v>
      </c>
      <c r="L131" s="62" t="s">
        <v>1203</v>
      </c>
      <c r="M131" s="62" t="s">
        <v>970</v>
      </c>
      <c r="N131" s="63"/>
      <c r="O131" s="62"/>
      <c r="P131" s="63">
        <v>46250.666666666664</v>
      </c>
      <c r="Q131" s="62" t="s">
        <v>277</v>
      </c>
      <c r="R131" s="62" t="s">
        <v>278</v>
      </c>
      <c r="S131" s="62" t="s">
        <v>1270</v>
      </c>
    </row>
    <row r="132" spans="1:19" ht="45.95" customHeight="1">
      <c r="A132" s="62" t="s">
        <v>1365</v>
      </c>
      <c r="B132" s="62" t="s">
        <v>849</v>
      </c>
      <c r="C132" s="62" t="s">
        <v>850</v>
      </c>
      <c r="D132" s="62"/>
      <c r="E132" s="62" t="s">
        <v>827</v>
      </c>
      <c r="F132" s="62" t="s">
        <v>1202</v>
      </c>
      <c r="G132" s="62" t="s">
        <v>680</v>
      </c>
      <c r="H132" s="62" t="s">
        <v>529</v>
      </c>
      <c r="I132" s="62" t="s">
        <v>819</v>
      </c>
      <c r="J132" s="62" t="s">
        <v>338</v>
      </c>
      <c r="K132" s="62" t="s">
        <v>814</v>
      </c>
      <c r="L132" s="62" t="s">
        <v>1203</v>
      </c>
      <c r="M132" s="62" t="s">
        <v>1366</v>
      </c>
      <c r="N132" s="63"/>
      <c r="O132" s="62"/>
      <c r="P132" s="63">
        <v>46250.666666666664</v>
      </c>
      <c r="Q132" s="62" t="s">
        <v>681</v>
      </c>
      <c r="R132" s="62" t="s">
        <v>682</v>
      </c>
      <c r="S132" s="62" t="s">
        <v>1367</v>
      </c>
    </row>
    <row r="133" spans="1:19" ht="45.95" customHeight="1">
      <c r="A133" s="62" t="s">
        <v>1333</v>
      </c>
      <c r="B133" s="62" t="s">
        <v>851</v>
      </c>
      <c r="C133" s="62" t="s">
        <v>1334</v>
      </c>
      <c r="D133" s="62"/>
      <c r="E133" s="62" t="s">
        <v>827</v>
      </c>
      <c r="F133" s="62" t="s">
        <v>1334</v>
      </c>
      <c r="G133" s="62" t="s">
        <v>1335</v>
      </c>
      <c r="H133" s="62" t="s">
        <v>483</v>
      </c>
      <c r="I133" s="62" t="s">
        <v>813</v>
      </c>
      <c r="J133" s="62" t="s">
        <v>350</v>
      </c>
      <c r="K133" s="62" t="s">
        <v>814</v>
      </c>
      <c r="L133" s="62" t="s">
        <v>1336</v>
      </c>
      <c r="M133" s="62" t="s">
        <v>1337</v>
      </c>
      <c r="N133" s="63"/>
      <c r="O133" s="62"/>
      <c r="P133" s="63">
        <v>46271.666666666664</v>
      </c>
      <c r="Q133" s="62" t="s">
        <v>652</v>
      </c>
      <c r="R133" s="62" t="s">
        <v>1338</v>
      </c>
      <c r="S133" s="62" t="s">
        <v>1339</v>
      </c>
    </row>
    <row r="134" spans="1:19" ht="45.95" customHeight="1">
      <c r="A134" s="62" t="s">
        <v>1340</v>
      </c>
      <c r="B134" s="62" t="s">
        <v>851</v>
      </c>
      <c r="C134" s="62" t="s">
        <v>1334</v>
      </c>
      <c r="D134" s="62"/>
      <c r="E134" s="62" t="s">
        <v>827</v>
      </c>
      <c r="F134" s="62" t="s">
        <v>1334</v>
      </c>
      <c r="G134" s="62" t="s">
        <v>1341</v>
      </c>
      <c r="H134" s="62" t="s">
        <v>483</v>
      </c>
      <c r="I134" s="62" t="s">
        <v>836</v>
      </c>
      <c r="J134" s="62" t="s">
        <v>350</v>
      </c>
      <c r="K134" s="62" t="s">
        <v>814</v>
      </c>
      <c r="L134" s="62" t="s">
        <v>1336</v>
      </c>
      <c r="M134" s="62" t="s">
        <v>1337</v>
      </c>
      <c r="N134" s="63"/>
      <c r="O134" s="62"/>
      <c r="P134" s="63">
        <v>46271.666666666664</v>
      </c>
      <c r="Q134" s="62" t="s">
        <v>655</v>
      </c>
      <c r="R134" s="62" t="s">
        <v>1338</v>
      </c>
      <c r="S134" s="62" t="s">
        <v>1342</v>
      </c>
    </row>
    <row r="135" spans="1:19" ht="45.95" customHeight="1">
      <c r="A135" s="62" t="s">
        <v>1025</v>
      </c>
      <c r="B135" s="62" t="s">
        <v>853</v>
      </c>
      <c r="C135" s="62" t="s">
        <v>854</v>
      </c>
      <c r="D135" s="62"/>
      <c r="E135" s="62" t="s">
        <v>827</v>
      </c>
      <c r="F135" s="62" t="s">
        <v>854</v>
      </c>
      <c r="G135" s="62" t="s">
        <v>67</v>
      </c>
      <c r="H135" s="62" t="s">
        <v>532</v>
      </c>
      <c r="I135" s="62" t="s">
        <v>836</v>
      </c>
      <c r="J135" s="62" t="s">
        <v>368</v>
      </c>
      <c r="K135" s="62" t="s">
        <v>814</v>
      </c>
      <c r="L135" s="62" t="s">
        <v>984</v>
      </c>
      <c r="M135" s="62" t="s">
        <v>970</v>
      </c>
      <c r="N135" s="63"/>
      <c r="O135" s="62"/>
      <c r="P135" s="63">
        <v>46250.666666666664</v>
      </c>
      <c r="Q135" s="62" t="s">
        <v>68</v>
      </c>
      <c r="R135" s="62" t="s">
        <v>69</v>
      </c>
      <c r="S135" s="62" t="s">
        <v>1026</v>
      </c>
    </row>
    <row r="136" spans="1:19" ht="45.95" customHeight="1">
      <c r="A136" s="62" t="s">
        <v>1059</v>
      </c>
      <c r="B136" s="62" t="s">
        <v>853</v>
      </c>
      <c r="C136" s="62" t="s">
        <v>854</v>
      </c>
      <c r="D136" s="62" t="s">
        <v>810</v>
      </c>
      <c r="E136" s="62" t="s">
        <v>827</v>
      </c>
      <c r="F136" s="62" t="s">
        <v>854</v>
      </c>
      <c r="G136" s="62" t="s">
        <v>109</v>
      </c>
      <c r="H136" s="62" t="s">
        <v>529</v>
      </c>
      <c r="I136" s="62" t="s">
        <v>807</v>
      </c>
      <c r="J136" s="62" t="s">
        <v>338</v>
      </c>
      <c r="K136" s="62" t="s">
        <v>814</v>
      </c>
      <c r="L136" s="62"/>
      <c r="M136" s="62" t="s">
        <v>1060</v>
      </c>
      <c r="N136" s="63"/>
      <c r="O136" s="62"/>
      <c r="P136" s="63">
        <v>46250.666666666664</v>
      </c>
      <c r="Q136" s="62" t="s">
        <v>110</v>
      </c>
      <c r="R136" s="62" t="s">
        <v>585</v>
      </c>
      <c r="S136" s="62" t="s">
        <v>1061</v>
      </c>
    </row>
    <row r="137" spans="1:19" ht="45.95" customHeight="1">
      <c r="A137" s="62" t="s">
        <v>968</v>
      </c>
      <c r="B137" s="62" t="s">
        <v>855</v>
      </c>
      <c r="C137" s="62" t="s">
        <v>856</v>
      </c>
      <c r="D137" s="62" t="s">
        <v>805</v>
      </c>
      <c r="E137" s="62" t="s">
        <v>827</v>
      </c>
      <c r="F137" s="62" t="s">
        <v>969</v>
      </c>
      <c r="G137" s="62" t="s">
        <v>19</v>
      </c>
      <c r="H137" s="126" t="s">
        <v>532</v>
      </c>
      <c r="I137" s="62" t="s">
        <v>836</v>
      </c>
      <c r="J137" s="62" t="s">
        <v>368</v>
      </c>
      <c r="K137" s="62" t="s">
        <v>814</v>
      </c>
      <c r="L137" s="62"/>
      <c r="M137" s="62" t="s">
        <v>970</v>
      </c>
      <c r="N137" s="63"/>
      <c r="O137" s="62"/>
      <c r="P137" s="63">
        <v>46250.666666666664</v>
      </c>
      <c r="Q137" s="62" t="s">
        <v>20</v>
      </c>
      <c r="R137" s="62" t="s">
        <v>22</v>
      </c>
      <c r="S137" s="62" t="s">
        <v>971</v>
      </c>
    </row>
    <row r="138" spans="1:19" ht="45.95" customHeight="1">
      <c r="A138" s="62" t="s">
        <v>1162</v>
      </c>
      <c r="B138" s="62" t="s">
        <v>855</v>
      </c>
      <c r="C138" s="62" t="s">
        <v>856</v>
      </c>
      <c r="D138" s="62"/>
      <c r="E138" s="62" t="s">
        <v>827</v>
      </c>
      <c r="F138" s="62" t="s">
        <v>969</v>
      </c>
      <c r="G138" s="62" t="s">
        <v>182</v>
      </c>
      <c r="H138" s="62" t="s">
        <v>532</v>
      </c>
      <c r="I138" s="62" t="s">
        <v>836</v>
      </c>
      <c r="J138" s="62" t="s">
        <v>338</v>
      </c>
      <c r="K138" s="62" t="s">
        <v>814</v>
      </c>
      <c r="L138" s="62"/>
      <c r="M138" s="62" t="s">
        <v>970</v>
      </c>
      <c r="N138" s="63"/>
      <c r="O138" s="62"/>
      <c r="P138" s="63">
        <v>46250.666666666664</v>
      </c>
      <c r="Q138" s="62" t="s">
        <v>183</v>
      </c>
      <c r="R138" s="62" t="s">
        <v>184</v>
      </c>
      <c r="S138" s="62" t="s">
        <v>1163</v>
      </c>
    </row>
    <row r="139" spans="1:19" ht="45.95" customHeight="1">
      <c r="A139" s="62" t="s">
        <v>1267</v>
      </c>
      <c r="B139" s="62" t="s">
        <v>855</v>
      </c>
      <c r="C139" s="62" t="s">
        <v>856</v>
      </c>
      <c r="D139" s="62"/>
      <c r="E139" s="62" t="s">
        <v>827</v>
      </c>
      <c r="F139" s="62" t="s">
        <v>969</v>
      </c>
      <c r="G139" s="62" t="s">
        <v>274</v>
      </c>
      <c r="H139" s="62" t="s">
        <v>532</v>
      </c>
      <c r="I139" s="62" t="s">
        <v>836</v>
      </c>
      <c r="J139" s="62" t="s">
        <v>368</v>
      </c>
      <c r="K139" s="62" t="s">
        <v>814</v>
      </c>
      <c r="L139" s="62"/>
      <c r="M139" s="62" t="s">
        <v>970</v>
      </c>
      <c r="N139" s="63"/>
      <c r="O139" s="62"/>
      <c r="P139" s="63">
        <v>46250.666666666664</v>
      </c>
      <c r="Q139" s="62" t="s">
        <v>275</v>
      </c>
      <c r="R139" s="62" t="s">
        <v>22</v>
      </c>
      <c r="S139" s="62" t="s">
        <v>1268</v>
      </c>
    </row>
    <row r="140" spans="1:19" ht="45.95" customHeight="1">
      <c r="A140" s="62" t="s">
        <v>1271</v>
      </c>
      <c r="B140" s="62" t="s">
        <v>855</v>
      </c>
      <c r="C140" s="62" t="s">
        <v>856</v>
      </c>
      <c r="D140" s="62"/>
      <c r="E140" s="62" t="s">
        <v>827</v>
      </c>
      <c r="F140" s="62" t="s">
        <v>969</v>
      </c>
      <c r="G140" s="62" t="s">
        <v>279</v>
      </c>
      <c r="H140" s="62" t="s">
        <v>532</v>
      </c>
      <c r="I140" s="62" t="s">
        <v>836</v>
      </c>
      <c r="J140" s="62" t="s">
        <v>338</v>
      </c>
      <c r="K140" s="62" t="s">
        <v>814</v>
      </c>
      <c r="L140" s="62"/>
      <c r="M140" s="62" t="str">
        <v>Configure email intake, receipts, urgent alerts and deadline tracking; arrange backup coverage and test before live use. PLAN.md §20, Q16.</v>
      </c>
      <c r="N140" s="63"/>
      <c r="O140" s="62" t="str">
        <v>Founder confirmation in chat, Sept 13; PLAN.md §20, Question 16.</v>
      </c>
      <c r="P140" s="63" t="n">
        <v>46278</v>
      </c>
      <c r="Q140" s="62" t="s">
        <v>280</v>
      </c>
      <c r="R140" s="62" t="str">
        <v>Q16: founder email support; daily urgent checks including weekends; delegate when unavailable. No backup assigned. Routine human reply target: 2 business days. Complaint/NCII deadlines: PLAN.md §20.</v>
      </c>
      <c r="S140" s="62" t="s">
        <v>1272</v>
      </c>
    </row>
    <row r="141" spans="1:19" ht="45.95" customHeight="1">
      <c r="A141" s="62" t="s">
        <v>1273</v>
      </c>
      <c r="B141" s="62" t="s">
        <v>855</v>
      </c>
      <c r="C141" s="62" t="s">
        <v>856</v>
      </c>
      <c r="D141" s="62"/>
      <c r="E141" s="62" t="s">
        <v>827</v>
      </c>
      <c r="F141" s="62" t="s">
        <v>969</v>
      </c>
      <c r="G141" s="62" t="s">
        <v>282</v>
      </c>
      <c r="H141" s="62" t="s">
        <v>532</v>
      </c>
      <c r="I141" s="62" t="s">
        <v>836</v>
      </c>
      <c r="J141" s="62" t="s">
        <v>338</v>
      </c>
      <c r="K141" s="62" t="s">
        <v>814</v>
      </c>
      <c r="L141" s="62"/>
      <c r="M141" s="62" t="s">
        <v>970</v>
      </c>
      <c r="N141" s="63"/>
      <c r="O141" s="62"/>
      <c r="P141" s="63">
        <v>46250.666666666664</v>
      </c>
      <c r="Q141" s="62" t="s">
        <v>283</v>
      </c>
      <c r="R141" s="62" t="s">
        <v>284</v>
      </c>
      <c r="S141" s="62" t="s">
        <v>1274</v>
      </c>
    </row>
    <row r="142" spans="1:19" ht="45.95" customHeight="1">
      <c r="A142" s="62" t="s">
        <v>1279</v>
      </c>
      <c r="B142" s="62" t="s">
        <v>855</v>
      </c>
      <c r="C142" s="62" t="s">
        <v>856</v>
      </c>
      <c r="D142" s="62"/>
      <c r="E142" s="62" t="s">
        <v>827</v>
      </c>
      <c r="F142" s="62" t="s">
        <v>969</v>
      </c>
      <c r="G142" s="62" t="s">
        <v>288</v>
      </c>
      <c r="H142" s="62" t="s">
        <v>532</v>
      </c>
      <c r="I142" s="62" t="s">
        <v>836</v>
      </c>
      <c r="J142" s="62" t="s">
        <v>338</v>
      </c>
      <c r="K142" s="62" t="s">
        <v>808</v>
      </c>
      <c r="L142" s="62"/>
      <c r="M142" s="62" t="s">
        <v>970</v>
      </c>
      <c r="N142" s="63"/>
      <c r="O142" s="62"/>
      <c r="P142" s="63">
        <v>46250.666666666664</v>
      </c>
      <c r="Q142" s="62" t="s">
        <v>289</v>
      </c>
      <c r="R142" s="62" t="s">
        <v>290</v>
      </c>
      <c r="S142" s="62" t="s">
        <v>1280</v>
      </c>
    </row>
    <row r="143" spans="1:19" ht="45.95" customHeight="1">
      <c r="A143" s="62" t="s">
        <v>1281</v>
      </c>
      <c r="B143" s="62" t="s">
        <v>855</v>
      </c>
      <c r="C143" s="62" t="s">
        <v>856</v>
      </c>
      <c r="D143" s="62" t="s">
        <v>829</v>
      </c>
      <c r="E143" s="62" t="s">
        <v>827</v>
      </c>
      <c r="F143" s="62" t="s">
        <v>969</v>
      </c>
      <c r="G143" s="62" t="s">
        <v>291</v>
      </c>
      <c r="H143" s="62" t="s">
        <v>532</v>
      </c>
      <c r="I143" s="62" t="s">
        <v>836</v>
      </c>
      <c r="J143" s="62" t="s">
        <v>338</v>
      </c>
      <c r="K143" s="62" t="s">
        <v>808</v>
      </c>
      <c r="L143" s="62"/>
      <c r="M143" s="62" t="s">
        <v>970</v>
      </c>
      <c r="N143" s="63"/>
      <c r="O143" s="62"/>
      <c r="P143" s="63">
        <v>46250.666666666664</v>
      </c>
      <c r="Q143" s="62" t="s">
        <v>292</v>
      </c>
      <c r="R143" s="62" t="s">
        <v>293</v>
      </c>
      <c r="S143" s="62" t="s">
        <v>1282</v>
      </c>
    </row>
    <row r="144" spans="1:19" ht="45.95" customHeight="1">
      <c r="A144" s="62" t="s">
        <v>1283</v>
      </c>
      <c r="B144" s="62" t="s">
        <v>855</v>
      </c>
      <c r="C144" s="62" t="s">
        <v>856</v>
      </c>
      <c r="D144" s="62"/>
      <c r="E144" s="62" t="s">
        <v>827</v>
      </c>
      <c r="F144" s="62" t="s">
        <v>969</v>
      </c>
      <c r="G144" s="62" t="s">
        <v>294</v>
      </c>
      <c r="H144" s="62" t="s">
        <v>532</v>
      </c>
      <c r="I144" s="62" t="s">
        <v>836</v>
      </c>
      <c r="J144" s="62" t="s">
        <v>338</v>
      </c>
      <c r="K144" s="62" t="s">
        <v>808</v>
      </c>
      <c r="L144" s="62"/>
      <c r="M144" s="62" t="s">
        <v>970</v>
      </c>
      <c r="N144" s="63"/>
      <c r="O144" s="62"/>
      <c r="P144" s="63">
        <v>46250.666666666664</v>
      </c>
      <c r="Q144" s="62" t="s">
        <v>295</v>
      </c>
      <c r="R144" s="62" t="s">
        <v>296</v>
      </c>
      <c r="S144" s="62" t="s">
        <v>1284</v>
      </c>
    </row>
    <row r="145" spans="1:19" ht="45.95" customHeight="1">
      <c r="A145" s="62" t="s">
        <v>1285</v>
      </c>
      <c r="B145" s="62" t="s">
        <v>855</v>
      </c>
      <c r="C145" s="62" t="s">
        <v>856</v>
      </c>
      <c r="D145" s="62"/>
      <c r="E145" s="62" t="s">
        <v>827</v>
      </c>
      <c r="F145" s="62" t="s">
        <v>969</v>
      </c>
      <c r="G145" s="62" t="s">
        <v>297</v>
      </c>
      <c r="H145" s="62" t="s">
        <v>532</v>
      </c>
      <c r="I145" s="62" t="s">
        <v>836</v>
      </c>
      <c r="J145" s="62" t="s">
        <v>338</v>
      </c>
      <c r="K145" s="62" t="s">
        <v>814</v>
      </c>
      <c r="L145" s="62"/>
      <c r="M145" s="62" t="s">
        <v>970</v>
      </c>
      <c r="N145" s="63"/>
      <c r="O145" s="62"/>
      <c r="P145" s="63">
        <v>46250.666666666664</v>
      </c>
      <c r="Q145" s="62" t="s">
        <v>298</v>
      </c>
      <c r="R145" s="62" t="s">
        <v>299</v>
      </c>
      <c r="S145" s="62" t="s">
        <v>1286</v>
      </c>
    </row>
    <row r="146" spans="1:19" ht="45.95" customHeight="1">
      <c r="A146" s="62" t="s">
        <v>1287</v>
      </c>
      <c r="B146" s="62" t="s">
        <v>855</v>
      </c>
      <c r="C146" s="62" t="s">
        <v>856</v>
      </c>
      <c r="D146" s="62"/>
      <c r="E146" s="62" t="s">
        <v>827</v>
      </c>
      <c r="F146" s="62" t="s">
        <v>969</v>
      </c>
      <c r="G146" s="62" t="s">
        <v>300</v>
      </c>
      <c r="H146" s="62" t="s">
        <v>532</v>
      </c>
      <c r="I146" s="62" t="s">
        <v>836</v>
      </c>
      <c r="J146" s="62" t="s">
        <v>368</v>
      </c>
      <c r="K146" s="62" t="s">
        <v>808</v>
      </c>
      <c r="L146" s="62"/>
      <c r="M146" s="62" t="s">
        <v>970</v>
      </c>
      <c r="N146" s="63"/>
      <c r="O146" s="62"/>
      <c r="P146" s="63">
        <v>46250.666666666664</v>
      </c>
      <c r="Q146" s="62" t="s">
        <v>301</v>
      </c>
      <c r="R146" s="62" t="s">
        <v>302</v>
      </c>
      <c r="S146" s="62" t="s">
        <v>1288</v>
      </c>
    </row>
    <row r="147" spans="1:19" ht="45.95" customHeight="1">
      <c r="A147" s="62" t="s">
        <v>1289</v>
      </c>
      <c r="B147" s="62" t="s">
        <v>855</v>
      </c>
      <c r="C147" s="62" t="s">
        <v>856</v>
      </c>
      <c r="D147" s="62"/>
      <c r="E147" s="62" t="s">
        <v>827</v>
      </c>
      <c r="F147" s="62" t="s">
        <v>969</v>
      </c>
      <c r="G147" s="62" t="s">
        <v>303</v>
      </c>
      <c r="H147" s="62" t="s">
        <v>532</v>
      </c>
      <c r="I147" s="62" t="s">
        <v>836</v>
      </c>
      <c r="J147" s="62" t="s">
        <v>338</v>
      </c>
      <c r="K147" s="62" t="s">
        <v>808</v>
      </c>
      <c r="L147" s="62"/>
      <c r="M147" s="62" t="s">
        <v>970</v>
      </c>
      <c r="N147" s="63"/>
      <c r="O147" s="62"/>
      <c r="P147" s="63">
        <v>46250.666666666664</v>
      </c>
      <c r="Q147" s="62" t="s">
        <v>304</v>
      </c>
      <c r="R147" s="62" t="s">
        <v>305</v>
      </c>
      <c r="S147" s="62" t="s">
        <v>1290</v>
      </c>
    </row>
    <row r="148" spans="1:19" ht="45.95" customHeight="1">
      <c r="A148" s="62" t="s">
        <v>1291</v>
      </c>
      <c r="B148" s="62" t="s">
        <v>855</v>
      </c>
      <c r="C148" s="62" t="s">
        <v>856</v>
      </c>
      <c r="D148" s="62"/>
      <c r="E148" s="62" t="s">
        <v>827</v>
      </c>
      <c r="F148" s="62" t="s">
        <v>969</v>
      </c>
      <c r="G148" s="62" t="s">
        <v>306</v>
      </c>
      <c r="H148" s="62" t="s">
        <v>529</v>
      </c>
      <c r="I148" s="62" t="s">
        <v>807</v>
      </c>
      <c r="J148" s="62" t="s">
        <v>368</v>
      </c>
      <c r="K148" s="62" t="s">
        <v>808</v>
      </c>
      <c r="L148" s="62"/>
      <c r="M148" s="62" t="s">
        <v>1292</v>
      </c>
      <c r="N148" s="63"/>
      <c r="O148" s="62"/>
      <c r="P148" s="63">
        <v>46250.666666666664</v>
      </c>
      <c r="Q148" s="62" t="s">
        <v>1293</v>
      </c>
      <c r="R148" s="62" t="s">
        <v>302</v>
      </c>
      <c r="S148" s="62" t="s">
        <v>1294</v>
      </c>
    </row>
    <row r="149" spans="1:19" ht="45.95" customHeight="1">
      <c r="A149" s="62" t="s">
        <v>1295</v>
      </c>
      <c r="B149" s="62" t="s">
        <v>855</v>
      </c>
      <c r="C149" s="62" t="s">
        <v>856</v>
      </c>
      <c r="D149" s="62"/>
      <c r="E149" s="62" t="s">
        <v>827</v>
      </c>
      <c r="F149" s="62" t="s">
        <v>969</v>
      </c>
      <c r="G149" s="62" t="s">
        <v>309</v>
      </c>
      <c r="H149" s="62" t="s">
        <v>529</v>
      </c>
      <c r="I149" s="62" t="s">
        <v>807</v>
      </c>
      <c r="J149" s="62" t="s">
        <v>368</v>
      </c>
      <c r="K149" s="62" t="s">
        <v>814</v>
      </c>
      <c r="L149" s="62"/>
      <c r="M149" s="62" t="s">
        <v>1296</v>
      </c>
      <c r="N149" s="63"/>
      <c r="O149" s="62"/>
      <c r="P149" s="63">
        <v>46250.666666666664</v>
      </c>
      <c r="Q149" s="62" t="s">
        <v>310</v>
      </c>
      <c r="R149" s="62" t="s">
        <v>634</v>
      </c>
      <c r="S149" s="62" t="s">
        <v>1297</v>
      </c>
    </row>
    <row r="150" spans="1:19" ht="45.95" customHeight="1">
      <c r="A150" s="62" t="s">
        <v>1298</v>
      </c>
      <c r="B150" s="62" t="s">
        <v>855</v>
      </c>
      <c r="C150" s="62" t="s">
        <v>856</v>
      </c>
      <c r="D150" s="62"/>
      <c r="E150" s="62" t="s">
        <v>827</v>
      </c>
      <c r="F150" s="62" t="s">
        <v>969</v>
      </c>
      <c r="G150" s="62" t="s">
        <v>311</v>
      </c>
      <c r="H150" s="62" t="s">
        <v>532</v>
      </c>
      <c r="I150" s="62" t="s">
        <v>836</v>
      </c>
      <c r="J150" s="62" t="s">
        <v>338</v>
      </c>
      <c r="K150" s="62" t="s">
        <v>808</v>
      </c>
      <c r="L150" s="62"/>
      <c r="M150" s="62" t="s">
        <v>1299</v>
      </c>
      <c r="N150" s="63"/>
      <c r="O150" s="62"/>
      <c r="P150" s="63">
        <v>46274.666666666664</v>
      </c>
      <c r="Q150" s="62" t="s">
        <v>312</v>
      </c>
      <c r="R150" s="62" t="s">
        <v>1300</v>
      </c>
      <c r="S150" s="62" t="s">
        <v>1301</v>
      </c>
    </row>
    <row r="151" spans="1:19" ht="45.95" customHeight="1">
      <c r="A151" s="62" t="s">
        <v>1302</v>
      </c>
      <c r="B151" s="62" t="s">
        <v>855</v>
      </c>
      <c r="C151" s="62" t="s">
        <v>856</v>
      </c>
      <c r="D151" s="62" t="s">
        <v>841</v>
      </c>
      <c r="E151" s="62" t="s">
        <v>827</v>
      </c>
      <c r="F151" s="62" t="s">
        <v>969</v>
      </c>
      <c r="G151" s="62" t="s">
        <v>314</v>
      </c>
      <c r="H151" s="62" t="s">
        <v>532</v>
      </c>
      <c r="I151" s="62" t="s">
        <v>836</v>
      </c>
      <c r="J151" s="62" t="s">
        <v>368</v>
      </c>
      <c r="K151" s="62" t="s">
        <v>814</v>
      </c>
      <c r="L151" s="62" t="s">
        <v>1010</v>
      </c>
      <c r="M151" s="62" t="s">
        <v>970</v>
      </c>
      <c r="N151" s="63"/>
      <c r="O151" s="62"/>
      <c r="P151" s="63">
        <v>46250.666666666664</v>
      </c>
      <c r="Q151" s="62" t="s">
        <v>315</v>
      </c>
      <c r="R151" s="62" t="s">
        <v>316</v>
      </c>
      <c r="S151" s="62" t="s">
        <v>1303</v>
      </c>
    </row>
    <row r="152" spans="1:19" ht="45.95" customHeight="1">
      <c r="A152" s="62" t="s">
        <v>1304</v>
      </c>
      <c r="B152" s="62" t="s">
        <v>855</v>
      </c>
      <c r="C152" s="62" t="s">
        <v>856</v>
      </c>
      <c r="D152" s="62"/>
      <c r="E152" s="62" t="s">
        <v>827</v>
      </c>
      <c r="F152" s="62" t="s">
        <v>969</v>
      </c>
      <c r="G152" s="62" t="s">
        <v>317</v>
      </c>
      <c r="H152" s="62" t="s">
        <v>532</v>
      </c>
      <c r="I152" s="62" t="s">
        <v>836</v>
      </c>
      <c r="J152" s="62" t="s">
        <v>368</v>
      </c>
      <c r="K152" s="62" t="s">
        <v>814</v>
      </c>
      <c r="L152" s="62"/>
      <c r="M152" s="62" t="s">
        <v>970</v>
      </c>
      <c r="N152" s="63"/>
      <c r="O152" s="62"/>
      <c r="P152" s="63">
        <v>46250.666666666664</v>
      </c>
      <c r="Q152" s="62" t="s">
        <v>318</v>
      </c>
      <c r="R152" s="62" t="s">
        <v>302</v>
      </c>
      <c r="S152" s="62" t="s">
        <v>1305</v>
      </c>
    </row>
    <row r="153" spans="1:19" ht="45.95" customHeight="1">
      <c r="A153" s="62" t="s">
        <v>1306</v>
      </c>
      <c r="B153" s="62" t="s">
        <v>855</v>
      </c>
      <c r="C153" s="62" t="s">
        <v>856</v>
      </c>
      <c r="D153" s="62" t="s">
        <v>838</v>
      </c>
      <c r="E153" s="62" t="s">
        <v>827</v>
      </c>
      <c r="F153" s="62" t="s">
        <v>969</v>
      </c>
      <c r="G153" s="62" t="s">
        <v>319</v>
      </c>
      <c r="H153" s="62" t="s">
        <v>532</v>
      </c>
      <c r="I153" s="62" t="s">
        <v>836</v>
      </c>
      <c r="J153" s="62" t="s">
        <v>698</v>
      </c>
      <c r="K153" s="62" t="s">
        <v>814</v>
      </c>
      <c r="L153" s="62" t="s">
        <v>997</v>
      </c>
      <c r="M153" s="62" t="s">
        <v>1307</v>
      </c>
      <c r="N153" s="63"/>
      <c r="O153" s="62"/>
      <c r="P153" s="63">
        <v>46275.666666666664</v>
      </c>
      <c r="Q153" s="62" t="s">
        <v>320</v>
      </c>
      <c r="R153" s="62" t="s">
        <v>1308</v>
      </c>
      <c r="S153" s="62" t="s">
        <v>1309</v>
      </c>
    </row>
    <row r="154" spans="1:19" ht="45.95" customHeight="1">
      <c r="A154" s="62" t="s">
        <v>1310</v>
      </c>
      <c r="B154" s="62" t="s">
        <v>855</v>
      </c>
      <c r="C154" s="62" t="s">
        <v>856</v>
      </c>
      <c r="D154" s="62"/>
      <c r="E154" s="62" t="s">
        <v>827</v>
      </c>
      <c r="F154" s="62" t="s">
        <v>969</v>
      </c>
      <c r="G154" s="62" t="s">
        <v>321</v>
      </c>
      <c r="H154" s="62" t="s">
        <v>532</v>
      </c>
      <c r="I154" s="62" t="s">
        <v>836</v>
      </c>
      <c r="J154" s="62" t="s">
        <v>338</v>
      </c>
      <c r="K154" s="62" t="s">
        <v>814</v>
      </c>
      <c r="L154" s="62"/>
      <c r="M154" s="62" t="str">
        <v>Define and verify limited-pilot readiness criteria alongside functional slices: processor approval plus product, legal, safety, security and support checks.</v>
      </c>
      <c r="N154" s="63"/>
      <c r="O154" s="62" t="str">
        <v>Founder approval, Sept 13; PLAN.md §20 Q18; docs/product/initial-ccbill-inquiry.md.</v>
      </c>
      <c r="P154" s="63" t="n">
        <v>46278</v>
      </c>
      <c r="Q154" s="62" t="s">
        <v>322</v>
      </c>
      <c r="R154" s="62" t="str">
        <v>Q18 approved: no fixed date or confirmed underwriting duration. Limited member pilot after approval/checks; expansion depends on results, country coverage and capacity. Checklist remains incomplete.</v>
      </c>
      <c r="S154" s="62" t="s">
        <v>1311</v>
      </c>
    </row>
    <row r="155" spans="1:19" ht="45.95" customHeight="1">
      <c r="A155" s="62" t="s">
        <v>1312</v>
      </c>
      <c r="B155" s="62" t="s">
        <v>855</v>
      </c>
      <c r="C155" s="62" t="s">
        <v>856</v>
      </c>
      <c r="D155" s="62"/>
      <c r="E155" s="62" t="s">
        <v>827</v>
      </c>
      <c r="F155" s="62" t="s">
        <v>969</v>
      </c>
      <c r="G155" s="62" t="s">
        <v>324</v>
      </c>
      <c r="H155" s="62" t="s">
        <v>532</v>
      </c>
      <c r="I155" s="62" t="s">
        <v>836</v>
      </c>
      <c r="J155" s="62" t="s">
        <v>368</v>
      </c>
      <c r="K155" s="62" t="s">
        <v>814</v>
      </c>
      <c r="L155" s="62" t="s">
        <v>984</v>
      </c>
      <c r="M155" s="62" t="s">
        <v>970</v>
      </c>
      <c r="N155" s="63"/>
      <c r="O155" s="62"/>
      <c r="P155" s="63">
        <v>46250.666666666664</v>
      </c>
      <c r="Q155" s="62" t="s">
        <v>325</v>
      </c>
      <c r="R155" s="62" t="s">
        <v>326</v>
      </c>
      <c r="S155" s="62" t="s">
        <v>1313</v>
      </c>
    </row>
    <row r="156" spans="1:19" ht="45.95" customHeight="1">
      <c r="A156" s="62" t="s">
        <v>1314</v>
      </c>
      <c r="B156" s="62" t="s">
        <v>855</v>
      </c>
      <c r="C156" s="62" t="s">
        <v>856</v>
      </c>
      <c r="D156" s="62"/>
      <c r="E156" s="62" t="s">
        <v>827</v>
      </c>
      <c r="F156" s="62" t="s">
        <v>969</v>
      </c>
      <c r="G156" s="62" t="s">
        <v>327</v>
      </c>
      <c r="H156" s="62" t="s">
        <v>532</v>
      </c>
      <c r="I156" s="62" t="s">
        <v>836</v>
      </c>
      <c r="J156" s="62" t="s">
        <v>338</v>
      </c>
      <c r="K156" s="62" t="s">
        <v>814</v>
      </c>
      <c r="L156" s="62"/>
      <c r="M156" s="62" t="s">
        <v>970</v>
      </c>
      <c r="N156" s="63"/>
      <c r="O156" s="62"/>
      <c r="P156" s="63">
        <v>46250.666666666664</v>
      </c>
      <c r="Q156" s="62" t="s">
        <v>328</v>
      </c>
      <c r="R156" s="62" t="s">
        <v>329</v>
      </c>
      <c r="S156" s="62" t="s">
        <v>1315</v>
      </c>
    </row>
    <row r="157" spans="1:19" ht="45.95" customHeight="1">
      <c r="A157" s="62" t="s">
        <v>1376</v>
      </c>
      <c r="B157" s="62" t="s">
        <v>855</v>
      </c>
      <c r="C157" s="62" t="s">
        <v>856</v>
      </c>
      <c r="D157" s="62" t="s">
        <v>829</v>
      </c>
      <c r="E157" s="62" t="s">
        <v>827</v>
      </c>
      <c r="F157" s="62" t="s">
        <v>969</v>
      </c>
      <c r="G157" s="62" t="s">
        <v>689</v>
      </c>
      <c r="H157" s="62" t="s">
        <v>529</v>
      </c>
      <c r="I157" s="62" t="s">
        <v>807</v>
      </c>
      <c r="J157" s="62" t="s">
        <v>368</v>
      </c>
      <c r="K157" s="62" t="s">
        <v>808</v>
      </c>
      <c r="L157" s="62" t="s">
        <v>1010</v>
      </c>
      <c r="M157" s="62" t="s">
        <v>1377</v>
      </c>
      <c r="N157" s="63"/>
      <c r="O157" s="62"/>
      <c r="P157" s="63">
        <v>46250.666666666664</v>
      </c>
      <c r="Q157" s="62" t="s">
        <v>690</v>
      </c>
      <c r="R157" s="62" t="s">
        <v>691</v>
      </c>
      <c r="S157" s="62" t="s">
        <v>1378</v>
      </c>
    </row>
    <row r="158" spans="1:19" ht="45.95" customHeight="1">
      <c r="A158" s="62" t="s">
        <v>1448</v>
      </c>
      <c r="B158" s="62" t="s">
        <v>855</v>
      </c>
      <c r="C158" s="62" t="s">
        <v>856</v>
      </c>
      <c r="D158" s="62" t="s">
        <v>843</v>
      </c>
      <c r="E158" s="62" t="s">
        <v>821</v>
      </c>
      <c r="F158" s="62" t="s">
        <v>1449</v>
      </c>
      <c r="G158" s="62" t="s">
        <v>1450</v>
      </c>
      <c r="H158" s="62" t="s">
        <v>528</v>
      </c>
      <c r="I158" s="62" t="s">
        <v>825</v>
      </c>
      <c r="J158" s="62" t="s">
        <v>338</v>
      </c>
      <c r="K158" s="62" t="s">
        <v>814</v>
      </c>
      <c r="L158" s="62"/>
      <c r="M158" s="62" t="s">
        <v>1451</v>
      </c>
      <c r="N158" s="63"/>
      <c r="O158" s="62" t="s">
        <v>889</v>
      </c>
      <c r="P158" s="63">
        <v>46255.666666666664</v>
      </c>
      <c r="Q158" s="62" t="s">
        <v>1452</v>
      </c>
      <c r="R158" s="62" t="s">
        <v>1453</v>
      </c>
      <c r="S158" s="62" t="s">
        <v>1454</v>
      </c>
    </row>
    <row r="159" spans="1:19" ht="45.95" customHeight="1">
      <c r="A159" s="62" t="s">
        <v>1235</v>
      </c>
      <c r="B159" s="62" t="s">
        <v>857</v>
      </c>
      <c r="C159" s="62" t="s">
        <v>561</v>
      </c>
      <c r="D159" s="62"/>
      <c r="E159" s="62" t="s">
        <v>827</v>
      </c>
      <c r="F159" s="62" t="s">
        <v>561</v>
      </c>
      <c r="G159" s="62" t="s">
        <v>241</v>
      </c>
      <c r="H159" s="62" t="s">
        <v>532</v>
      </c>
      <c r="I159" s="62" t="s">
        <v>836</v>
      </c>
      <c r="J159" s="62" t="s">
        <v>368</v>
      </c>
      <c r="K159" s="62" t="s">
        <v>814</v>
      </c>
      <c r="L159" s="62"/>
      <c r="M159" s="62" t="s">
        <v>970</v>
      </c>
      <c r="N159" s="63"/>
      <c r="O159" s="62"/>
      <c r="P159" s="63">
        <v>46250.666666666664</v>
      </c>
      <c r="Q159" s="62" t="s">
        <v>242</v>
      </c>
      <c r="R159" s="62" t="s">
        <v>243</v>
      </c>
      <c r="S159" s="62" t="s">
        <v>1236</v>
      </c>
    </row>
    <row r="160" spans="1:19" ht="45.95" customHeight="1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3"/>
      <c r="O160" s="62"/>
      <c r="P160" s="63"/>
      <c r="Q160" s="62"/>
      <c r="R160" s="62"/>
      <c r="S160" s="62"/>
    </row>
    <row r="161" spans="1:19" ht="45.95" customHeight="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3"/>
      <c r="O161" s="62"/>
      <c r="P161" s="63"/>
      <c r="Q161" s="62"/>
      <c r="R161" s="62"/>
      <c r="S161" s="62"/>
    </row>
    <row r="162" spans="1:19" ht="45.95" customHeight="1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3"/>
      <c r="O162" s="62"/>
      <c r="P162" s="63"/>
      <c r="Q162" s="62"/>
      <c r="R162" s="62"/>
      <c r="S162" s="62"/>
    </row>
    <row r="163" spans="1:19" ht="45.95" customHeight="1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3"/>
      <c r="O163" s="62"/>
      <c r="P163" s="63"/>
      <c r="Q163" s="62"/>
      <c r="R163" s="62"/>
      <c r="S163" s="62"/>
    </row>
    <row r="164" spans="1:19" ht="45.95" customHeight="1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3"/>
      <c r="O164" s="62"/>
      <c r="P164" s="63"/>
      <c r="Q164" s="62"/>
      <c r="R164" s="62"/>
      <c r="S164" s="62"/>
    </row>
  </sheetData>
  <mergeCells count="2">
    <mergeCell ref="A1:S1"/>
    <mergeCell ref="A2:S2"/>
  </mergeCells>
  <conditionalFormatting sqref="H4:H164">
    <cfRule type="containsText" dxfId="27" priority="1" operator="containsText" text="Done"/>
    <cfRule type="containsText" dxfId="26" priority="2" operator="containsText" text="In Progress"/>
    <cfRule type="containsText" dxfId="25" priority="3" operator="containsText" text="In Review"/>
    <cfRule type="containsText" dxfId="24" priority="4" operator="containsText" text="Blocked"/>
    <cfRule type="containsText" dxfId="23" priority="5" operator="containsText" text="Not Started"/>
    <cfRule type="containsText" dxfId="22" priority="6" operator="containsText" text="Ready"/>
    <cfRule type="containsText" dxfId="21" priority="7" operator="containsText" text="Deferred"/>
  </conditionalFormatting>
  <dataValidations count="5">
    <dataValidation type="list" sqref="H4:H164" xr:uid="{00000000-0002-0000-0800-000000000000}">
      <formula1>"Not Started,Ready,In Progress,In Review,Blocked,Done,Deferred"</formula1>
    </dataValidation>
    <dataValidation type="list" sqref="I4:I164" xr:uid="{00000000-0002-0000-0800-000001000000}">
      <formula1>"Decision Locked,UI Prototype,Backend Implemented,Integrated,Production-Ready,N/A"</formula1>
    </dataValidation>
    <dataValidation type="list" sqref="J4:J164" xr:uid="{00000000-0002-0000-0800-000002000000}">
      <formula1>"Critical,High,Medium,Low"</formula1>
    </dataValidation>
    <dataValidation type="list" sqref="K4:K164" xr:uid="{00000000-0002-0000-0800-000003000000}">
      <formula1>"Founder,Engineering,Operations,Counsel,Unassigned"</formula1>
    </dataValidation>
    <dataValidation type="list" sqref="E4:E164" xr:uid="{00000000-0002-0000-0800-000004000000}">
      <formula1>"PLAN task,PLAN phase gate,Supplemental,Legacy-mapped task,Published slice,Decision,Exit criterion"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9"/>
  <sheetViews>
    <sheetView showGridLines="0" workbookViewId="0">
      <selection sqref="A1:L1"/>
    </sheetView>
  </sheetViews>
  <sheetFormatPr defaultRowHeight="15"/>
  <cols>
    <col min="1" max="1" width="14" customWidth="1"/>
    <col min="2" max="2" width="9" customWidth="1"/>
    <col min="3" max="3" width="31" customWidth="1"/>
    <col min="4" max="4" width="25" customWidth="1"/>
    <col min="5" max="5" width="36" customWidth="1"/>
    <col min="6" max="7" width="15" customWidth="1"/>
    <col min="8" max="8" width="28" customWidth="1"/>
    <col min="9" max="9" width="42" customWidth="1"/>
    <col min="10" max="10" width="13" customWidth="1"/>
    <col min="11" max="11" width="42" customWidth="1"/>
    <col min="12" max="12" width="13" customWidth="1"/>
  </cols>
  <sheetData>
    <row r="1" spans="1:12" ht="32.1" customHeight="1">
      <c r="A1" s="94" t="s">
        <v>1467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ht="24" customHeight="1">
      <c r="A2" s="95" t="s">
        <v>1468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spans="1:12" ht="33.950000000000003" customHeight="1">
      <c r="A3" s="59" t="s">
        <v>948</v>
      </c>
      <c r="B3" s="59" t="s">
        <v>514</v>
      </c>
      <c r="C3" s="59" t="s">
        <v>881</v>
      </c>
      <c r="D3" s="59" t="s">
        <v>950</v>
      </c>
      <c r="E3" s="59" t="s">
        <v>951</v>
      </c>
      <c r="F3" s="59" t="s">
        <v>519</v>
      </c>
      <c r="G3" s="59" t="s">
        <v>803</v>
      </c>
      <c r="H3" s="59" t="s">
        <v>952</v>
      </c>
      <c r="I3" s="59" t="s">
        <v>953</v>
      </c>
      <c r="J3" s="59" t="s">
        <v>954</v>
      </c>
      <c r="K3" s="59" t="s">
        <v>523</v>
      </c>
      <c r="L3" s="59" t="s">
        <v>885</v>
      </c>
    </row>
    <row r="4" spans="1:12" ht="54" customHeight="1">
      <c r="A4" s="60" t="s">
        <v>1469</v>
      </c>
      <c r="B4" s="60" t="s">
        <v>838</v>
      </c>
      <c r="C4" s="60" t="s">
        <v>1470</v>
      </c>
      <c r="D4" s="60" t="s">
        <v>1471</v>
      </c>
      <c r="E4" s="60" t="s">
        <v>1472</v>
      </c>
      <c r="F4" s="60" t="s">
        <v>483</v>
      </c>
      <c r="G4" s="60" t="s">
        <v>808</v>
      </c>
      <c r="H4" s="60"/>
      <c r="I4" s="60" t="s">
        <v>1473</v>
      </c>
      <c r="J4" s="61"/>
      <c r="K4" s="60" t="s">
        <v>1005</v>
      </c>
      <c r="L4" s="61">
        <v>46275.666666666664</v>
      </c>
    </row>
    <row r="5" spans="1:12" ht="54" customHeight="1">
      <c r="A5" s="62" t="s">
        <v>1474</v>
      </c>
      <c r="B5" s="62" t="s">
        <v>829</v>
      </c>
      <c r="C5" s="62" t="s">
        <v>830</v>
      </c>
      <c r="D5" s="62" t="s">
        <v>1475</v>
      </c>
      <c r="E5" s="62" t="s">
        <v>1476</v>
      </c>
      <c r="F5" s="62" t="s">
        <v>483</v>
      </c>
      <c r="G5" s="62" t="s">
        <v>814</v>
      </c>
      <c r="H5" s="62" t="s">
        <v>1477</v>
      </c>
      <c r="I5" s="62" t="s">
        <v>1478</v>
      </c>
      <c r="J5" s="63"/>
      <c r="K5" s="62" t="s">
        <v>1373</v>
      </c>
      <c r="L5" s="63">
        <v>46271.666666666664</v>
      </c>
    </row>
    <row r="6" spans="1:12" ht="54" customHeight="1">
      <c r="A6" s="62" t="s">
        <v>1479</v>
      </c>
      <c r="B6" s="62" t="s">
        <v>829</v>
      </c>
      <c r="C6" s="62" t="s">
        <v>830</v>
      </c>
      <c r="D6" s="62" t="s">
        <v>1480</v>
      </c>
      <c r="E6" s="62" t="s">
        <v>1481</v>
      </c>
      <c r="F6" s="62" t="s">
        <v>528</v>
      </c>
      <c r="G6" s="62" t="s">
        <v>814</v>
      </c>
      <c r="H6" s="62"/>
      <c r="I6" s="62" t="s">
        <v>1482</v>
      </c>
      <c r="J6" s="63"/>
      <c r="K6" s="62" t="s">
        <v>1483</v>
      </c>
      <c r="L6" s="63">
        <v>46271.666666666664</v>
      </c>
    </row>
    <row r="7" spans="1:12" ht="54" customHeight="1">
      <c r="A7" s="62" t="s">
        <v>1439</v>
      </c>
      <c r="B7" s="62" t="s">
        <v>841</v>
      </c>
      <c r="C7" s="62" t="s">
        <v>842</v>
      </c>
      <c r="D7" s="62" t="s">
        <v>1441</v>
      </c>
      <c r="E7" s="62" t="s">
        <v>1442</v>
      </c>
      <c r="F7" s="62" t="s">
        <v>531</v>
      </c>
      <c r="G7" s="62" t="s">
        <v>814</v>
      </c>
      <c r="H7" s="62" t="s">
        <v>1484</v>
      </c>
      <c r="I7" s="62" t="s">
        <v>1485</v>
      </c>
      <c r="J7" s="63"/>
      <c r="K7" s="62" t="s">
        <v>915</v>
      </c>
      <c r="L7" s="63">
        <v>46274.666666666664</v>
      </c>
    </row>
    <row r="8" spans="1:12" ht="54" customHeight="1">
      <c r="A8" s="62" t="s">
        <v>1182</v>
      </c>
      <c r="B8" s="62" t="s">
        <v>834</v>
      </c>
      <c r="C8" s="62" t="s">
        <v>835</v>
      </c>
      <c r="D8" s="62" t="s">
        <v>1486</v>
      </c>
      <c r="E8" s="62" t="s">
        <v>1487</v>
      </c>
      <c r="F8" s="62" t="s">
        <v>530</v>
      </c>
      <c r="G8" s="62" t="s">
        <v>814</v>
      </c>
      <c r="H8" s="62" t="s">
        <v>1183</v>
      </c>
      <c r="I8" s="62" t="s">
        <v>1488</v>
      </c>
      <c r="J8" s="63"/>
      <c r="K8" s="62" t="s">
        <v>1185</v>
      </c>
      <c r="L8" s="63">
        <v>46274.666666666664</v>
      </c>
    </row>
    <row r="9" spans="1:12" ht="54" customHeight="1">
      <c r="A9" s="62"/>
      <c r="B9" s="62"/>
      <c r="C9" s="62"/>
      <c r="D9" s="62"/>
      <c r="E9" s="62"/>
      <c r="F9" s="62"/>
      <c r="G9" s="62"/>
      <c r="H9" s="62"/>
      <c r="I9" s="62"/>
      <c r="J9" s="63"/>
      <c r="K9" s="62"/>
      <c r="L9" s="63"/>
    </row>
  </sheetData>
  <mergeCells count="2">
    <mergeCell ref="A1:L1"/>
    <mergeCell ref="A2:L2"/>
  </mergeCells>
  <conditionalFormatting sqref="F4:F9">
    <cfRule type="containsText" dxfId="20" priority="1" operator="containsText" text="Done"/>
    <cfRule type="containsText" dxfId="19" priority="2" operator="containsText" text="In Progress"/>
    <cfRule type="containsText" dxfId="18" priority="3" operator="containsText" text="In Review"/>
    <cfRule type="containsText" dxfId="17" priority="4" operator="containsText" text="Blocked"/>
    <cfRule type="containsText" dxfId="16" priority="5" operator="containsText" text="Not Started"/>
    <cfRule type="containsText" dxfId="15" priority="6" operator="containsText" text="Ready"/>
    <cfRule type="containsText" dxfId="14" priority="7" operator="containsText" text="Deferred"/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3"/>
  <sheetViews>
    <sheetView showGridLines="0" workbookViewId="0"/>
  </sheetViews>
  <sheetFormatPr defaultRowHeight="15"/>
  <cols>
    <col min="1" max="3" width="13" customWidth="1"/>
    <col min="4" max="7" width="38" customWidth="1"/>
    <col min="8" max="8" width="44" customWidth="1"/>
    <col min="9" max="9" width="14" customWidth="1"/>
    <col min="10" max="11" width="32" customWidth="1"/>
    <col min="12" max="12" width="13" customWidth="1"/>
  </cols>
  <sheetData>
    <row r="1" spans="1:12" ht="32.1" customHeight="1">
      <c r="A1" s="94" t="s">
        <v>1489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</row>
    <row r="2" spans="1:12" ht="24" customHeight="1">
      <c r="A2" s="95" t="s">
        <v>1490</v>
      </c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</row>
    <row r="3" spans="1:12" ht="33.950000000000003" customHeight="1">
      <c r="A3" s="59" t="s">
        <v>1491</v>
      </c>
      <c r="B3" s="59" t="s">
        <v>948</v>
      </c>
      <c r="C3" s="59" t="s">
        <v>514</v>
      </c>
      <c r="D3" s="59" t="s">
        <v>1492</v>
      </c>
      <c r="E3" s="59" t="s">
        <v>1493</v>
      </c>
      <c r="F3" s="59" t="s">
        <v>1494</v>
      </c>
      <c r="G3" s="59" t="s">
        <v>1495</v>
      </c>
      <c r="H3" s="59" t="s">
        <v>1496</v>
      </c>
      <c r="I3" s="59" t="s">
        <v>1497</v>
      </c>
      <c r="J3" s="59" t="s">
        <v>1498</v>
      </c>
      <c r="K3" s="59" t="s">
        <v>1499</v>
      </c>
      <c r="L3" s="59" t="s">
        <v>1500</v>
      </c>
    </row>
    <row r="4" spans="1:12" ht="57.95" customHeight="1">
      <c r="A4" s="61">
        <v>46255.666666666664</v>
      </c>
      <c r="B4" s="60" t="s">
        <v>1390</v>
      </c>
      <c r="C4" s="60" t="s">
        <v>817</v>
      </c>
      <c r="D4" s="60" t="s">
        <v>1501</v>
      </c>
      <c r="E4" s="60" t="s">
        <v>1502</v>
      </c>
      <c r="F4" s="60" t="s">
        <v>1503</v>
      </c>
      <c r="G4" s="60" t="s">
        <v>1504</v>
      </c>
      <c r="H4" s="60" t="s">
        <v>1505</v>
      </c>
      <c r="I4" s="60" t="s">
        <v>530</v>
      </c>
      <c r="J4" s="60" t="s">
        <v>1506</v>
      </c>
      <c r="K4" s="60" t="s">
        <v>1507</v>
      </c>
      <c r="L4" s="60" t="s">
        <v>1508</v>
      </c>
    </row>
    <row r="5" spans="1:12" ht="57.95" customHeight="1">
      <c r="A5" s="63">
        <v>46255.666666666664</v>
      </c>
      <c r="B5" s="62" t="s">
        <v>1448</v>
      </c>
      <c r="C5" s="62" t="s">
        <v>855</v>
      </c>
      <c r="D5" s="62" t="s">
        <v>1509</v>
      </c>
      <c r="E5" s="62" t="s">
        <v>1510</v>
      </c>
      <c r="F5" s="62" t="s">
        <v>1511</v>
      </c>
      <c r="G5" s="62" t="s">
        <v>1512</v>
      </c>
      <c r="H5" s="62" t="s">
        <v>889</v>
      </c>
      <c r="I5" s="62" t="s">
        <v>530</v>
      </c>
      <c r="J5" s="62" t="s">
        <v>1513</v>
      </c>
      <c r="K5" s="62" t="s">
        <v>1514</v>
      </c>
      <c r="L5" s="62" t="s">
        <v>1508</v>
      </c>
    </row>
    <row r="6" spans="1:12" ht="57.95" customHeight="1">
      <c r="A6" s="63">
        <v>46255.666666666664</v>
      </c>
      <c r="B6" s="62" t="s">
        <v>1383</v>
      </c>
      <c r="C6" s="62" t="s">
        <v>805</v>
      </c>
      <c r="D6" s="62" t="s">
        <v>1515</v>
      </c>
      <c r="E6" s="62" t="s">
        <v>1516</v>
      </c>
      <c r="F6" s="62" t="s">
        <v>1517</v>
      </c>
      <c r="G6" s="62" t="s">
        <v>1518</v>
      </c>
      <c r="H6" s="62" t="s">
        <v>889</v>
      </c>
      <c r="I6" s="62" t="s">
        <v>530</v>
      </c>
      <c r="J6" s="62" t="s">
        <v>1519</v>
      </c>
      <c r="K6" s="62" t="s">
        <v>1520</v>
      </c>
      <c r="L6" s="62" t="s">
        <v>1508</v>
      </c>
    </row>
    <row r="7" spans="1:12" ht="57.95" customHeight="1">
      <c r="A7" s="63">
        <v>46255.666666666664</v>
      </c>
      <c r="B7" s="62" t="s">
        <v>1390</v>
      </c>
      <c r="C7" s="62" t="s">
        <v>817</v>
      </c>
      <c r="D7" s="62" t="s">
        <v>1521</v>
      </c>
      <c r="E7" s="62" t="s">
        <v>1522</v>
      </c>
      <c r="F7" s="62" t="s">
        <v>1523</v>
      </c>
      <c r="G7" s="62" t="s">
        <v>1524</v>
      </c>
      <c r="H7" s="62" t="s">
        <v>1525</v>
      </c>
      <c r="I7" s="62" t="s">
        <v>528</v>
      </c>
      <c r="J7" s="62" t="s">
        <v>1526</v>
      </c>
      <c r="K7" s="62" t="s">
        <v>1527</v>
      </c>
      <c r="L7" s="62" t="s">
        <v>1508</v>
      </c>
    </row>
    <row r="8" spans="1:12" ht="57.95" customHeight="1">
      <c r="A8" s="63">
        <v>46257.666666666664</v>
      </c>
      <c r="B8" s="62" t="s">
        <v>1455</v>
      </c>
      <c r="C8" s="62" t="s">
        <v>829</v>
      </c>
      <c r="D8" s="62" t="s">
        <v>1528</v>
      </c>
      <c r="E8" s="62" t="s">
        <v>1529</v>
      </c>
      <c r="F8" s="62" t="s">
        <v>1530</v>
      </c>
      <c r="G8" s="62" t="s">
        <v>1531</v>
      </c>
      <c r="H8" s="62" t="s">
        <v>1532</v>
      </c>
      <c r="I8" s="62" t="s">
        <v>530</v>
      </c>
      <c r="J8" s="62" t="s">
        <v>1533</v>
      </c>
      <c r="K8" s="62" t="s">
        <v>1534</v>
      </c>
      <c r="L8" s="62" t="s">
        <v>1508</v>
      </c>
    </row>
    <row r="9" spans="1:12" ht="110.1" customHeight="1">
      <c r="A9" s="62">
        <v>46271.666666666664</v>
      </c>
      <c r="B9" s="62" t="s">
        <v>1535</v>
      </c>
      <c r="C9" s="62" t="s">
        <v>805</v>
      </c>
      <c r="D9" s="62" t="s">
        <v>1536</v>
      </c>
      <c r="E9" s="62" t="s">
        <v>1537</v>
      </c>
      <c r="F9" s="62" t="s">
        <v>1538</v>
      </c>
      <c r="G9" s="62" t="s">
        <v>1539</v>
      </c>
      <c r="H9" s="62" t="s">
        <v>1540</v>
      </c>
      <c r="I9" s="62" t="s">
        <v>528</v>
      </c>
      <c r="J9" s="62" t="s">
        <v>1541</v>
      </c>
      <c r="K9" s="62" t="s">
        <v>1542</v>
      </c>
      <c r="L9" s="62" t="s">
        <v>1508</v>
      </c>
    </row>
    <row r="10" spans="1:12" ht="57.95" customHeight="1">
      <c r="A10" s="63">
        <v>46273.666666666664</v>
      </c>
      <c r="B10" s="62" t="s">
        <v>1182</v>
      </c>
      <c r="C10" s="62" t="s">
        <v>834</v>
      </c>
      <c r="D10" s="62" t="s">
        <v>1543</v>
      </c>
      <c r="E10" s="62" t="s">
        <v>1544</v>
      </c>
      <c r="F10" s="62" t="s">
        <v>1545</v>
      </c>
      <c r="G10" s="62" t="s">
        <v>1546</v>
      </c>
      <c r="H10" s="62" t="s">
        <v>1185</v>
      </c>
      <c r="I10" s="62" t="s">
        <v>530</v>
      </c>
      <c r="J10" s="62" t="s">
        <v>1547</v>
      </c>
      <c r="K10" s="62" t="s">
        <v>1548</v>
      </c>
      <c r="L10" s="62" t="s">
        <v>1508</v>
      </c>
    </row>
    <row r="11" spans="1:12" ht="105" customHeight="1">
      <c r="A11" s="63">
        <v>46275</v>
      </c>
      <c r="B11" s="62" t="inlineStr">
        <is>
          <t xml:space="preserve">LEG-MT-060; LEG-MT-078</t>
        </is>
      </c>
      <c r="C11" s="62" t="inlineStr">
        <is>
          <t xml:space="preserve">P04; P03</t>
        </is>
      </c>
      <c r="D11" s="62" t="inlineStr">
        <is>
          <t xml:space="preserve">Record global age verification and a Settings Privacy &amp; Safety overview.</t>
        </is>
      </c>
      <c r="E11" s="62" t="inlineStr">
        <is>
          <t xml:space="preserve">Expanded the existing delivery tasks using the founder's Fansly and LoyalFans references. Linked watermark implementation to P05 / LEG-MT-091.</t>
        </is>
      </c>
      <c r="F11" s="62" t="inlineStr">
        <is>
          <t xml:space="preserve">Both requirements now have source links, concrete scope and dependency-aware next actions.</t>
        </is>
      </c>
      <c r="G11" s="62" t="inlineStr">
        <is>
          <t xml:space="preserve">No product implementation or provider selection. The next founder task remains P05 / LEG-MT-088 local content-flow review. P03 core completion is preserved.</t>
        </is>
      </c>
      <c r="H11" s="62" t="inlineStr">
        <is>
          <t xml:space="preserve">References reviewed September 10, 2026; Delivery Tracker evidence cells on LEG-MT-060 and LEG-MT-078.</t>
        </is>
      </c>
      <c r="I11" s="62" t="inlineStr">
        <is>
          <t xml:space="preserve">Done</t>
        </is>
      </c>
      <c r="J11" s="62" t="inlineStr">
        <is>
          <t xml:space="preserve">Implementation remains pending; live age checks need reviewed coverage, provider and data handling.</t>
        </is>
      </c>
      <c r="K11" s="62" t="inlineStr">
        <is>
          <t xml:space="preserve">Continue the one active founder step: review the working local content flow (P05 / LEG-MT-088).</t>
        </is>
      </c>
      <c r="L11" s="62" t="inlineStr">
        <is>
          <t xml:space="preserve">Codex</t>
        </is>
      </c>
    </row>
    <row r="12" spans="1:12" ht="85" customHeight="1">
      <c r="A12" t="n" s="63">
        <v>46281</v>
      </c>
      <c r="B12" t="str" s="62">
        <v>LEG-MT-158</v>
      </c>
      <c r="C12" t="str" s="62">
        <v>P04</v>
      </c>
      <c r="D12" t="str" s="62">
        <v>Record Maryland approval and EIN receipt.</v>
      </c>
      <c r="E12" t="str" s="62">
        <v>Marked LLC formation complete; updated EIN, privacy and dependency records.</v>
      </c>
      <c r="F12" t="str" s="62">
        <v>State formation and EIN are complete, per founder confirmation.</v>
      </c>
      <c r="G12" t="str" s="62">
        <v>Banking, DBA and processor approval remain open. Product readiness unchanged.</v>
      </c>
      <c r="H12" t="str" s="62">
        <v>Founder confirmed approval and supplied EIN in chat September 16, 2026.</v>
      </c>
      <c r="I12" t="str" s="62">
        <v>Done</v>
      </c>
      <c r="J12" t="str" s="62">
        <v>Original approval and IRS letter not independently inspected.</v>
      </c>
      <c r="K12" t="str" s="62">
        <v>Resume the current legal questionnaire in PLAN.md section 20.</v>
      </c>
      <c r="L12" t="str" s="62">
        <v>Codex</v>
      </c>
    </row>
    <row r="13" spans="1:12" ht="57.95" customHeight="1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62"/>
    </row>
    <row r="14" spans="1:12" ht="57.95" customHeight="1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</row>
    <row r="15" spans="1:12" ht="57.95" customHeight="1">
      <c r="A15" s="62"/>
      <c r="B15" s="62"/>
      <c r="C15" s="62"/>
      <c r="D15" s="62"/>
      <c r="E15" s="62"/>
      <c r="F15" s="62"/>
      <c r="G15" s="62"/>
      <c r="H15" s="62"/>
      <c r="I15" s="62"/>
      <c r="J15" s="62"/>
      <c r="K15" s="62"/>
      <c r="L15" s="62"/>
    </row>
    <row r="16" spans="1:12" ht="57.95" customHeight="1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</row>
    <row r="17" spans="1:12" ht="57.95" customHeight="1">
      <c r="A17" s="62"/>
      <c r="B17" s="62"/>
      <c r="C17" s="62"/>
      <c r="D17" s="62"/>
      <c r="E17" s="62"/>
      <c r="F17" s="62"/>
      <c r="G17" s="62"/>
      <c r="H17" s="62"/>
      <c r="I17" s="62"/>
      <c r="J17" s="62"/>
      <c r="K17" s="62"/>
      <c r="L17" s="62"/>
    </row>
    <row r="18" spans="1:12" ht="57.95" customHeight="1">
      <c r="A18" s="62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2"/>
    </row>
    <row r="19" spans="1:12" ht="57.95" customHeight="1">
      <c r="A19" s="62"/>
      <c r="B19" s="62"/>
      <c r="C19" s="62"/>
      <c r="D19" s="62"/>
      <c r="E19" s="62"/>
      <c r="F19" s="62"/>
      <c r="G19" s="62"/>
      <c r="H19" s="62"/>
      <c r="I19" s="62"/>
      <c r="J19" s="62"/>
      <c r="K19" s="62"/>
      <c r="L19" s="62"/>
    </row>
    <row r="20" spans="1:12" ht="57.95" customHeight="1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2"/>
    </row>
    <row r="21" spans="1:12" ht="57.95" customHeight="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62"/>
    </row>
    <row r="22" spans="1:12" ht="57.95" customHeight="1">
      <c r="A22" s="62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2"/>
    </row>
    <row r="23" spans="1:12" ht="57.95" customHeight="1">
      <c r="A23" s="62"/>
      <c r="B23" s="62"/>
      <c r="C23" s="62"/>
      <c r="D23" s="62"/>
      <c r="E23" s="62"/>
      <c r="F23" s="62"/>
      <c r="G23" s="62"/>
      <c r="H23" s="62"/>
      <c r="I23" s="62"/>
      <c r="J23" s="62"/>
      <c r="K23" s="62"/>
      <c r="L23" s="62"/>
    </row>
    <row r="24" spans="1:12" ht="57.95" customHeight="1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2"/>
    </row>
    <row r="25" spans="1:12" ht="57.95" customHeight="1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62"/>
    </row>
    <row r="26" spans="1:12" ht="57.95" customHeight="1">
      <c r="A26" s="62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2"/>
    </row>
    <row r="27" spans="1:12" ht="57.95" customHeight="1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</row>
    <row r="28" spans="1:12" ht="57.95" customHeight="1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spans="1:12" ht="57.95" customHeight="1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62"/>
    </row>
    <row r="30" spans="1:12" ht="57.95" customHeight="1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</row>
    <row r="31" spans="1:12" ht="57.95" customHeight="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62"/>
    </row>
    <row r="32" spans="1:12" ht="57.95" customHeight="1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</row>
    <row r="33" spans="1:12" ht="57.95" customHeight="1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</row>
    <row r="34" spans="1:12" ht="57.95" customHeight="1">
      <c r="A34" s="62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2"/>
    </row>
    <row r="35" spans="1:12" ht="57.95" customHeight="1">
      <c r="A35" s="62"/>
      <c r="B35" s="62"/>
      <c r="C35" s="62"/>
      <c r="D35" s="62"/>
      <c r="E35" s="62"/>
      <c r="F35" s="62"/>
      <c r="G35" s="62"/>
      <c r="H35" s="62"/>
      <c r="I35" s="62"/>
      <c r="J35" s="62"/>
      <c r="K35" s="62"/>
      <c r="L35" s="62"/>
    </row>
    <row r="36" spans="1:12" ht="57.95" customHeight="1">
      <c r="A36" s="62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2"/>
    </row>
    <row r="37" spans="1:12" ht="57.9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</row>
    <row r="38" spans="1:12" ht="57.9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</row>
    <row r="39" spans="1:12" ht="57.9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</row>
    <row r="40" spans="1:12" ht="57.95" customHeight="1">
      <c r="A40" s="62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2"/>
    </row>
    <row r="41" spans="1:12" ht="57.95" customHeight="1">
      <c r="A41" s="62"/>
      <c r="B41" s="62"/>
      <c r="C41" s="62"/>
      <c r="D41" s="62"/>
      <c r="E41" s="62"/>
      <c r="F41" s="62"/>
      <c r="G41" s="62"/>
      <c r="H41" s="62"/>
      <c r="I41" s="62"/>
      <c r="J41" s="62"/>
      <c r="K41" s="62"/>
      <c r="L41" s="62"/>
    </row>
    <row r="42" spans="1:12" ht="57.95" customHeight="1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2"/>
    </row>
    <row r="43" spans="1:12" ht="57.95" customHeight="1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</row>
    <row r="44" spans="1:12" ht="57.95" customHeight="1">
      <c r="A44" s="62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2"/>
    </row>
    <row r="45" spans="1:12" ht="57.95" customHeight="1">
      <c r="A45" s="62"/>
      <c r="B45" s="62"/>
      <c r="C45" s="62"/>
      <c r="D45" s="62"/>
      <c r="E45" s="62"/>
      <c r="F45" s="62"/>
      <c r="G45" s="62"/>
      <c r="H45" s="62"/>
      <c r="I45" s="62"/>
      <c r="J45" s="62"/>
      <c r="K45" s="62"/>
      <c r="L45" s="62"/>
    </row>
    <row r="46" spans="1:12" ht="57.95" customHeight="1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2"/>
    </row>
    <row r="47" spans="1:12" ht="57.95" customHeight="1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</row>
    <row r="48" spans="1:12" ht="57.95" customHeight="1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2"/>
    </row>
    <row r="49" spans="1:12" ht="57.95" customHeight="1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</row>
    <row r="50" spans="1:12" ht="57.95" customHeight="1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</row>
    <row r="51" spans="1:12" ht="57.9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</row>
    <row r="52" spans="1:12" ht="57.95" customHeight="1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</row>
    <row r="53" spans="1:12" ht="57.95" customHeight="1">
      <c r="A53" s="62"/>
      <c r="B53" s="62"/>
      <c r="C53" s="62"/>
      <c r="D53" s="62"/>
      <c r="E53" s="62"/>
      <c r="F53" s="62"/>
      <c r="G53" s="62"/>
      <c r="H53" s="62"/>
      <c r="I53" s="62"/>
      <c r="J53" s="62"/>
      <c r="K53" s="62"/>
      <c r="L53" s="62"/>
    </row>
    <row r="54" spans="1:12" ht="57.95" customHeight="1">
      <c r="A54" s="62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2"/>
    </row>
    <row r="55" spans="1:12" ht="57.95" customHeight="1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</row>
    <row r="56" spans="1:12" ht="57.95" customHeight="1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</row>
    <row r="57" spans="1:12" ht="57.95" customHeight="1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</row>
    <row r="58" spans="1:12" ht="57.95" customHeight="1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</row>
    <row r="59" spans="1:12" ht="57.95" customHeight="1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</row>
    <row r="60" spans="1:12" ht="57.95" customHeight="1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</row>
    <row r="61" spans="1:12" ht="57.9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</row>
    <row r="62" spans="1:12" ht="57.95" customHeight="1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</row>
    <row r="63" spans="1:12" ht="57.9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</row>
  </sheetData>
  <mergeCells count="2">
    <mergeCell ref="A1:L1"/>
    <mergeCell ref="A2:L2"/>
  </mergeCells>
  <conditionalFormatting sqref="I4:I63">
    <cfRule type="containsText" dxfId="13" priority="1" operator="containsText" text="Done"/>
    <cfRule type="containsText" dxfId="12" priority="2" operator="containsText" text="In Progress"/>
    <cfRule type="containsText" dxfId="11" priority="3" operator="containsText" text="In Review"/>
    <cfRule type="containsText" dxfId="10" priority="4" operator="containsText" text="Blocked"/>
    <cfRule type="containsText" dxfId="9" priority="5" operator="containsText" text="Not Started"/>
    <cfRule type="containsText" dxfId="8" priority="6" operator="containsText" text="Ready"/>
    <cfRule type="containsText" dxfId="7" priority="7" operator="containsText" text="Deferred"/>
  </conditionalFormatting>
  <dataValidations count="1">
    <dataValidation type="list" sqref="I4:I63" xr:uid="{00000000-0002-0000-0A00-000000000000}">
      <formula1>"Not Started,Ready,In Progress,In Review,Blocked,Done,Deferred"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8"/>
  <sheetViews>
    <sheetView showGridLines="0" workbookViewId="0"/>
  </sheetViews>
  <sheetFormatPr defaultRowHeight="15"/>
  <cols>
    <col min="1" max="1" width="22" customWidth="1"/>
    <col min="2" max="2" width="10" customWidth="1"/>
    <col min="3" max="3" width="38" customWidth="1"/>
    <col min="4" max="6" width="16" customWidth="1"/>
    <col min="7" max="8" width="48" customWidth="1"/>
    <col min="9" max="9" width="42" customWidth="1"/>
    <col min="10" max="10" width="13" customWidth="1"/>
  </cols>
  <sheetData>
    <row r="1" spans="1:10" ht="32.1" customHeight="1">
      <c r="A1" s="94" t="s">
        <v>1549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24" customHeight="1">
      <c r="A2" s="95" t="s">
        <v>1550</v>
      </c>
      <c r="B2" s="95"/>
      <c r="C2" s="95"/>
      <c r="D2" s="95"/>
      <c r="E2" s="95"/>
      <c r="F2" s="95"/>
      <c r="G2" s="95"/>
      <c r="H2" s="95"/>
      <c r="I2" s="95"/>
      <c r="J2" s="95"/>
    </row>
    <row r="3" spans="1:10" ht="33.950000000000003" customHeight="1">
      <c r="A3" s="59" t="s">
        <v>1551</v>
      </c>
      <c r="B3" s="59" t="s">
        <v>514</v>
      </c>
      <c r="C3" s="59" t="s">
        <v>1552</v>
      </c>
      <c r="D3" s="59" t="s">
        <v>803</v>
      </c>
      <c r="E3" s="59" t="s">
        <v>1553</v>
      </c>
      <c r="F3" s="59" t="s">
        <v>519</v>
      </c>
      <c r="G3" s="59" t="s">
        <v>1554</v>
      </c>
      <c r="H3" s="59" t="s">
        <v>953</v>
      </c>
      <c r="I3" s="59" t="s">
        <v>523</v>
      </c>
      <c r="J3" s="59" t="s">
        <v>885</v>
      </c>
    </row>
    <row r="4" spans="1:10" ht="54.95" customHeight="1">
      <c r="A4" s="60" t="s">
        <v>1555</v>
      </c>
      <c r="B4" s="60" t="s">
        <v>817</v>
      </c>
      <c r="C4" s="60" t="s">
        <v>1556</v>
      </c>
      <c r="D4" s="60" t="s">
        <v>808</v>
      </c>
      <c r="E4" s="61">
        <v>46226.666666666664</v>
      </c>
      <c r="F4" s="60" t="s">
        <v>531</v>
      </c>
      <c r="G4" s="60" t="s">
        <v>1557</v>
      </c>
      <c r="H4" s="60" t="s">
        <v>1558</v>
      </c>
      <c r="I4" s="60" t="s">
        <v>1559</v>
      </c>
      <c r="J4" s="61">
        <v>46255.666666666664</v>
      </c>
    </row>
    <row r="5" spans="1:10" ht="54.95" customHeight="1">
      <c r="A5" s="62" t="s">
        <v>1560</v>
      </c>
      <c r="B5" s="62" t="s">
        <v>817</v>
      </c>
      <c r="C5" s="62" t="s">
        <v>1561</v>
      </c>
      <c r="D5" s="62" t="s">
        <v>808</v>
      </c>
      <c r="E5" s="63">
        <v>46226.666666666664</v>
      </c>
      <c r="F5" s="62" t="s">
        <v>531</v>
      </c>
      <c r="G5" s="62" t="s">
        <v>1562</v>
      </c>
      <c r="H5" s="62" t="s">
        <v>1563</v>
      </c>
      <c r="I5" s="62" t="s">
        <v>1559</v>
      </c>
      <c r="J5" s="63">
        <v>46255.666666666664</v>
      </c>
    </row>
    <row r="6" spans="1:10" ht="54.95" customHeight="1">
      <c r="A6" s="62" t="s">
        <v>1564</v>
      </c>
      <c r="B6" s="62" t="s">
        <v>817</v>
      </c>
      <c r="C6" s="62" t="s">
        <v>1565</v>
      </c>
      <c r="D6" s="62" t="s">
        <v>814</v>
      </c>
      <c r="E6" s="63">
        <v>46252.666666666664</v>
      </c>
      <c r="F6" s="62" t="s">
        <v>528</v>
      </c>
      <c r="G6" s="62" t="s">
        <v>1566</v>
      </c>
      <c r="H6" s="62" t="s">
        <v>1567</v>
      </c>
      <c r="I6" s="62" t="s">
        <v>1408</v>
      </c>
      <c r="J6" s="63">
        <v>46255.666666666664</v>
      </c>
    </row>
    <row r="7" spans="1:10" ht="54.95" customHeight="1">
      <c r="A7" s="62" t="s">
        <v>1568</v>
      </c>
      <c r="B7" s="62" t="s">
        <v>817</v>
      </c>
      <c r="C7" s="62" t="s">
        <v>1569</v>
      </c>
      <c r="D7" s="62" t="s">
        <v>808</v>
      </c>
      <c r="E7" s="63">
        <v>46259.666666666664</v>
      </c>
      <c r="F7" s="62" t="s">
        <v>528</v>
      </c>
      <c r="G7" s="62" t="s">
        <v>1570</v>
      </c>
      <c r="H7" s="62" t="s">
        <v>1571</v>
      </c>
      <c r="I7" s="62" t="s">
        <v>889</v>
      </c>
      <c r="J7" s="63">
        <v>46255.666666666664</v>
      </c>
    </row>
    <row r="8" spans="1:10" ht="54.95" customHeight="1">
      <c r="A8" s="62" t="s">
        <v>1572</v>
      </c>
      <c r="B8" s="62" t="s">
        <v>845</v>
      </c>
      <c r="C8" s="62" t="s">
        <v>1573</v>
      </c>
      <c r="D8" s="62" t="s">
        <v>808</v>
      </c>
      <c r="E8" s="63"/>
      <c r="F8" s="62" t="s">
        <v>483</v>
      </c>
      <c r="G8" s="62" t="s">
        <v>1574</v>
      </c>
      <c r="H8" s="62" t="s">
        <v>1575</v>
      </c>
      <c r="I8" s="62" t="s">
        <v>1559</v>
      </c>
      <c r="J8" s="63">
        <v>46271.666666666664</v>
      </c>
    </row>
    <row r="9" spans="1:10" ht="54.95" customHeight="1">
      <c r="A9" s="62" t="s">
        <v>1576</v>
      </c>
      <c r="B9" s="62" t="s">
        <v>829</v>
      </c>
      <c r="C9" t="str" s="62">
        <v>Maryland LLC approved; EIN obtained</v>
      </c>
      <c r="D9" s="62" t="s">
        <v>808</v>
      </c>
      <c r="E9" s="63"/>
      <c r="F9" t="str" s="62">
        <v>Done</v>
      </c>
      <c r="G9" t="str" s="62">
        <v>Founder confirmed Maryland approval and EIN receipt Sept 16. Northwest formation cost: $196. Banking and DBA remain open.</v>
      </c>
      <c r="H9" t="str" s="62">
        <v>Retain state approval and IRS confirmation privately. Resume the existing legal questionnaire; handle banking and DBA separately.</v>
      </c>
      <c r="I9" t="str" s="62">
        <v>Founder confirmation, September 16, 2026. EIN supplied in chat; originals not independently inspected. $196 cost previously confirmed September 10.</v>
      </c>
      <c r="J9" t="n" s="63">
        <v>46281</v>
      </c>
    </row>
    <row r="10" spans="1:10" ht="54.95" customHeight="1">
      <c r="A10" s="62" t="s">
        <v>1469</v>
      </c>
      <c r="B10" s="62" t="s">
        <v>838</v>
      </c>
      <c r="C10" s="62" t="s">
        <v>1581</v>
      </c>
      <c r="D10" s="62" t="s">
        <v>808</v>
      </c>
      <c r="E10" s="63"/>
      <c r="F10" s="62" t="s">
        <v>529</v>
      </c>
      <c r="G10" s="62" t="s">
        <v>1582</v>
      </c>
      <c r="H10" s="62" t="s">
        <v>1583</v>
      </c>
      <c r="I10" s="62" t="s">
        <v>1584</v>
      </c>
      <c r="J10" s="63">
        <v>46275.666666666664</v>
      </c>
    </row>
    <row r="11" spans="1:10" ht="54.95" customHeight="1">
      <c r="A11" s="62" t="s">
        <v>1585</v>
      </c>
      <c r="B11" s="62" t="s">
        <v>829</v>
      </c>
      <c r="C11" s="62" t="s">
        <v>1586</v>
      </c>
      <c r="D11" s="62" t="s">
        <v>808</v>
      </c>
      <c r="E11" s="63">
        <v>46233.666666666664</v>
      </c>
      <c r="F11" s="62" t="s">
        <v>531</v>
      </c>
      <c r="G11" s="62" t="str">
        <v>Automated member age assurance and creator identity checks planned. Ondato/Veriff candidates; selection, total costs, country coverage and privacy/retention terms remain unresolved.</v>
      </c>
      <c r="H11" s="62" t="str">
        <v>Compare candidates against pilot needs and CCBill review requirements. Configure/test required flows before live adult access or real creator identity onboarding.</v>
      </c>
      <c r="I11" s="62" t="str">
        <v>Founder approval Sept 13; PLAN.md §3.5/§20, Question 12.</v>
      </c>
      <c r="J11" s="63" t="n">
        <v>46278</v>
      </c>
    </row>
    <row r="12" spans="1:10" ht="54.95" customHeight="1">
      <c r="A12" s="62" t="s">
        <v>1589</v>
      </c>
      <c r="B12" s="62" t="s">
        <v>838</v>
      </c>
      <c r="C12" s="62" t="s">
        <v>1590</v>
      </c>
      <c r="D12" s="62" t="s">
        <v>808</v>
      </c>
      <c r="E12" s="63">
        <v>46240.666666666664</v>
      </c>
      <c r="F12" s="62" t="s">
        <v>531</v>
      </c>
      <c r="G12" s="62" t="s">
        <v>1591</v>
      </c>
      <c r="H12" s="62" t="s">
        <v>1592</v>
      </c>
      <c r="I12" s="62"/>
      <c r="J12" s="63">
        <v>46255.666666666664</v>
      </c>
    </row>
    <row r="13" spans="1:10" ht="54.95" customHeight="1">
      <c r="A13" s="62" t="s">
        <v>1593</v>
      </c>
      <c r="B13" s="62" t="s">
        <v>829</v>
      </c>
      <c r="C13" s="62" t="s">
        <v>1594</v>
      </c>
      <c r="D13" s="62" t="s">
        <v>808</v>
      </c>
      <c r="E13" s="63">
        <v>46240.666666666664</v>
      </c>
      <c r="F13" s="62" t="s">
        <v>531</v>
      </c>
      <c r="G13" s="62" t="str">
        <v>Maryland operator; broad international creators and limited international member pilot approved. Automated checks/cash buffer planned; countries, limits, budgets and coverage unresolved.</v>
      </c>
      <c r="H13" s="62" t="str">
        <v>Set pilot member cap, verification budget and cash buffer before live use; verify actual country coverage. Resolve creator tax documentation under LEG-MT-021.</v>
      </c>
      <c r="I13" s="62" t="str">
        <v>PLAN.md §3.6/§20, Q9–10 (Sept 13 approval); docs/product/initial-business-definition.md (Sept 6 review).</v>
      </c>
      <c r="J13" s="63" t="n">
        <v>46278</v>
      </c>
    </row>
    <row r="14" spans="1:10" ht="54.95" customHeight="1">
      <c r="A14" s="62" t="s">
        <v>1598</v>
      </c>
      <c r="B14" s="62" t="s">
        <v>838</v>
      </c>
      <c r="C14" s="62" t="s">
        <v>1599</v>
      </c>
      <c r="D14" s="62" t="s">
        <v>808</v>
      </c>
      <c r="E14" s="63">
        <v>46247.666666666664</v>
      </c>
      <c r="F14" s="62" t="s">
        <v>531</v>
      </c>
      <c r="G14" s="62" t="str">
        <v>Q131 approves a 20/80 target excluding sales tax; processing costs from platform share. Q132 applies standard fees to Founders, replacing cost-recovery terms.</v>
      </c>
      <c r="H14" s="62" t="str">
        <v>Validate actual costs under Q139–141 loss/fee rules. Provider payout fees remain unconfirmed. Budget prize events separately.</v>
      </c>
      <c r="I14" s="62" t="str">
        <v>PLAN.md §§3.8,20: Q131–132 and Q139–141 approved September 22, 2026.</v>
      </c>
      <c r="J14" s="63" t="n">
        <v>46287</v>
      </c>
    </row>
    <row r="15" spans="1:10" ht="54.95" customHeight="1">
      <c r="A15" s="62" t="s">
        <v>1602</v>
      </c>
      <c r="B15" s="62" t="s">
        <v>829</v>
      </c>
      <c r="C15" s="62" t="s">
        <v>1603</v>
      </c>
      <c r="D15" s="62" t="s">
        <v>808</v>
      </c>
      <c r="E15" s="63">
        <v>46247.666666666664</v>
      </c>
      <c r="F15" s="62" t="s">
        <v>531</v>
      </c>
      <c r="G15" s="62" t="s">
        <v>1604</v>
      </c>
      <c r="H15" s="62" t="s">
        <v>1605</v>
      </c>
      <c r="I15" s="62"/>
      <c r="J15" s="63">
        <v>46255.666666666664</v>
      </c>
    </row>
    <row r="16" spans="1:10" ht="54.95" customHeight="1">
      <c r="A16" s="62" t="s">
        <v>1606</v>
      </c>
      <c r="B16" s="62" t="s">
        <v>849</v>
      </c>
      <c r="C16" s="62" t="s">
        <v>1607</v>
      </c>
      <c r="D16" s="62" t="s">
        <v>808</v>
      </c>
      <c r="E16" s="63">
        <v>46240.666666666664</v>
      </c>
      <c r="F16" s="62" t="s">
        <v>483</v>
      </c>
      <c r="G16" s="62" t="s">
        <v>1608</v>
      </c>
      <c r="H16" s="62" t="s">
        <v>1609</v>
      </c>
      <c r="I16" s="62" t="s">
        <v>904</v>
      </c>
      <c r="J16" s="63">
        <v>46271.666666666664</v>
      </c>
    </row>
    <row r="17" spans="1:10" ht="54.95" customHeight="1">
      <c r="A17" s="62" t="s">
        <v>1610</v>
      </c>
      <c r="B17" s="62" t="s">
        <v>855</v>
      </c>
      <c r="C17" s="62" t="s">
        <v>1611</v>
      </c>
      <c r="D17" s="62" t="s">
        <v>808</v>
      </c>
      <c r="E17" s="63">
        <v>46254.666666666664</v>
      </c>
      <c r="F17" s="62" t="s">
        <v>529</v>
      </c>
      <c r="G17" s="62" t="s">
        <v>1612</v>
      </c>
      <c r="H17" s="62" t="s">
        <v>1613</v>
      </c>
      <c r="I17" s="62" t="s">
        <v>1559</v>
      </c>
      <c r="J17" s="63">
        <v>46255.666666666664</v>
      </c>
    </row>
    <row r="18" spans="1:10" ht="54.95" customHeight="1">
      <c r="A18" s="62" t="s">
        <v>1614</v>
      </c>
      <c r="B18" s="62" t="s">
        <v>805</v>
      </c>
      <c r="C18" s="62" t="s">
        <v>1615</v>
      </c>
      <c r="D18" s="62" t="s">
        <v>814</v>
      </c>
      <c r="E18" s="63"/>
      <c r="F18" s="62" t="s">
        <v>528</v>
      </c>
      <c r="G18" s="62" t="s">
        <v>1616</v>
      </c>
      <c r="H18" s="62" t="s">
        <v>1617</v>
      </c>
      <c r="I18" s="62" t="s">
        <v>1618</v>
      </c>
      <c r="J18" s="63">
        <v>46271.666666666664</v>
      </c>
    </row>
    <row r="19" spans="1:10" ht="95.1" customHeight="1">
      <c r="A19" s="69" t="s">
        <v>1535</v>
      </c>
      <c r="B19" s="69" t="s">
        <v>805</v>
      </c>
      <c r="C19" s="69" t="s">
        <v>1619</v>
      </c>
      <c r="D19" s="69" t="s">
        <v>808</v>
      </c>
      <c r="E19" s="69"/>
      <c r="F19" s="69" t="s">
        <v>528</v>
      </c>
      <c r="G19" s="69" t="s">
        <v>1620</v>
      </c>
      <c r="H19" s="69" t="s">
        <v>1621</v>
      </c>
      <c r="I19" s="69" t="s">
        <v>1622</v>
      </c>
      <c r="J19" s="70">
        <v>46274.666666666664</v>
      </c>
    </row>
    <row r="20" spans="1:10" ht="95.1" customHeight="1">
      <c r="A20" s="69" t="s">
        <v>1623</v>
      </c>
      <c r="B20" s="69" t="s">
        <v>805</v>
      </c>
      <c r="C20" s="69" t="s">
        <v>1624</v>
      </c>
      <c r="D20" s="69" t="s">
        <v>808</v>
      </c>
      <c r="E20" s="69"/>
      <c r="F20" s="69" t="s">
        <v>528</v>
      </c>
      <c r="G20" s="69" t="s">
        <v>1625</v>
      </c>
      <c r="H20" s="69" t="s">
        <v>1626</v>
      </c>
      <c r="I20" s="69" t="s">
        <v>1627</v>
      </c>
      <c r="J20" s="70">
        <v>46274.666666666664</v>
      </c>
    </row>
    <row r="21" spans="1:10" ht="95.1" customHeight="1">
      <c r="A21" s="69" t="s">
        <v>1628</v>
      </c>
      <c r="B21" s="69" t="s">
        <v>851</v>
      </c>
      <c r="C21" s="69" t="s">
        <v>1629</v>
      </c>
      <c r="D21" s="69" t="s">
        <v>808</v>
      </c>
      <c r="E21" s="69"/>
      <c r="F21" s="69" t="s">
        <v>528</v>
      </c>
      <c r="G21" s="69" t="s">
        <v>1630</v>
      </c>
      <c r="H21" s="69" t="s">
        <v>1631</v>
      </c>
      <c r="I21" s="69" t="s">
        <v>1627</v>
      </c>
      <c r="J21" s="70">
        <v>46271.666666666664</v>
      </c>
    </row>
    <row r="22" spans="1:10" ht="95.1" customHeight="1">
      <c r="A22" s="69" t="s">
        <v>1632</v>
      </c>
      <c r="B22" s="69" t="s">
        <v>857</v>
      </c>
      <c r="C22" s="69" t="s">
        <v>1633</v>
      </c>
      <c r="D22" s="69" t="s">
        <v>808</v>
      </c>
      <c r="E22" s="69"/>
      <c r="F22" s="69" t="s">
        <v>483</v>
      </c>
      <c r="G22" s="69" t="s">
        <v>1634</v>
      </c>
      <c r="H22" s="69" t="s">
        <v>1635</v>
      </c>
      <c r="I22" s="69" t="s">
        <v>1627</v>
      </c>
      <c r="J22" s="70">
        <v>46271.666666666664</v>
      </c>
    </row>
    <row r="23" spans="1:10" ht="95.1" customHeight="1">
      <c r="A23" s="69" t="s">
        <v>1636</v>
      </c>
      <c r="B23" s="69" t="s">
        <v>838</v>
      </c>
      <c r="C23" s="69" t="str">
        <v>Founders acquisition and benefits</v>
      </c>
      <c r="D23" s="69" t="s">
        <v>808</v>
      </c>
      <c r="E23" s="69"/>
      <c r="F23" s="69" t="s">
        <v>529</v>
      </c>
      <c r="G23" s="69" t="str">
        <v>Q132: Founders tag; Connect filter or Explore section below top sections; SFW Discord events; future event priority. Standard fees replace commission exemption.</v>
      </c>
      <c r="H23" s="69" t="str">
        <v>Q133: tag lasts for eligible account life; discovery/event priority conditional. Finalize eligibility, cutoff/cap and event terms; fund prizes separately.</v>
      </c>
      <c r="I23" s="69" t="str">
        <v>PLAN.md §20, Q132–133 approved September 22, 2026; eligibility and event details remain open.</v>
      </c>
      <c r="J23" s="70" t="n">
        <v>46287</v>
      </c>
    </row>
    <row r="24" spans="1:10" ht="95.1" customHeight="1">
      <c r="A24" s="69" t="s">
        <v>1640</v>
      </c>
      <c r="B24" s="69" t="s">
        <v>857</v>
      </c>
      <c r="C24" s="69" t="s">
        <v>1641</v>
      </c>
      <c r="D24" s="69" t="s">
        <v>808</v>
      </c>
      <c r="E24" s="69"/>
      <c r="F24" s="69" t="s">
        <v>483</v>
      </c>
      <c r="G24" s="69" t="s">
        <v>1642</v>
      </c>
      <c r="H24" s="69" t="s">
        <v>1643</v>
      </c>
      <c r="I24" s="69" t="s">
        <v>1644</v>
      </c>
      <c r="J24" s="70">
        <v>46271.666666666664</v>
      </c>
    </row>
    <row r="25" spans="1:10" ht="95.1" customHeight="1">
      <c r="A25" s="69" t="s">
        <v>1645</v>
      </c>
      <c r="B25" s="69" t="s">
        <v>805</v>
      </c>
      <c r="C25" s="69" t="s">
        <v>1646</v>
      </c>
      <c r="D25" s="69" t="s">
        <v>808</v>
      </c>
      <c r="E25" s="69"/>
      <c r="F25" s="69" t="s">
        <v>529</v>
      </c>
      <c r="G25" s="69" t="s">
        <v>1647</v>
      </c>
      <c r="H25" s="69" t="s">
        <v>1648</v>
      </c>
      <c r="I25" s="69" t="s">
        <v>1649</v>
      </c>
      <c r="J25" s="70">
        <v>46275.666666666664</v>
      </c>
    </row>
    <row r="26" spans="1:10" ht="95.1" customHeight="1">
      <c r="A26" s="69" t="s">
        <v>1650</v>
      </c>
      <c r="B26" s="69" t="s">
        <v>855</v>
      </c>
      <c r="C26" s="69" t="s">
        <v>1651</v>
      </c>
      <c r="D26" s="69" t="s">
        <v>808</v>
      </c>
      <c r="E26" s="69"/>
      <c r="F26" s="69" t="s">
        <v>812</v>
      </c>
      <c r="G26" s="69" t="s">
        <v>1652</v>
      </c>
      <c r="H26" s="69" t="s">
        <v>1653</v>
      </c>
      <c r="I26" s="69" t="s">
        <v>1654</v>
      </c>
      <c r="J26" s="70">
        <v>46273.666666666664</v>
      </c>
    </row>
    <row r="27" spans="1:10" ht="95.1" customHeight="1">
      <c r="A27" s="69" t="s">
        <v>1474</v>
      </c>
      <c r="B27" s="69" t="s">
        <v>829</v>
      </c>
      <c r="C27" s="69" t="s">
        <v>1655</v>
      </c>
      <c r="D27" s="69" t="s">
        <v>814</v>
      </c>
      <c r="E27" s="69"/>
      <c r="F27" s="69" t="s">
        <v>528</v>
      </c>
      <c r="G27" s="69" t="s">
        <v>1656</v>
      </c>
      <c r="H27" s="69" t="s">
        <v>1657</v>
      </c>
      <c r="I27" s="69" t="s">
        <v>1373</v>
      </c>
      <c r="J27" s="70">
        <v>46271.666666666664</v>
      </c>
    </row>
    <row r="28" spans="1:10" ht="95.1" customHeight="1">
      <c r="A28" s="69"/>
      <c r="B28" s="69"/>
      <c r="C28" s="69"/>
      <c r="D28" s="69"/>
      <c r="E28" s="69"/>
      <c r="F28" s="69"/>
      <c r="G28" s="69"/>
      <c r="H28" s="69"/>
      <c r="I28" s="69"/>
      <c r="J28" s="70"/>
    </row>
  </sheetData>
  <mergeCells count="2">
    <mergeCell ref="A1:J1"/>
    <mergeCell ref="A2:J2"/>
  </mergeCells>
  <conditionalFormatting sqref="F4:F18">
    <cfRule type="containsText" dxfId="6" priority="1" operator="containsText" text="Done"/>
    <cfRule type="containsText" dxfId="5" priority="2" operator="containsText" text="In Progress"/>
    <cfRule type="containsText" dxfId="4" priority="3" operator="containsText" text="In Review"/>
    <cfRule type="containsText" dxfId="3" priority="4" operator="containsText" text="Blocked"/>
    <cfRule type="containsText" dxfId="2" priority="5" operator="containsText" text="Not Started"/>
    <cfRule type="containsText" dxfId="1" priority="6" operator="containsText" text="Ready"/>
  </conditionalFormatting>
  <conditionalFormatting sqref="F4:F28">
    <cfRule type="containsText" dxfId="0" priority="7" operator="containsText" text="Deferred"/>
  </conditionalFormatting>
  <dataValidations count="2">
    <dataValidation type="list" sqref="F4:F18" xr:uid="{00000000-0002-0000-0B00-000000000000}">
      <formula1>"Not Started,Ready,In Progress,In Review,Blocked,Done,Deferred"</formula1>
    </dataValidation>
    <dataValidation type="list" sqref="D4:D18" xr:uid="{00000000-0002-0000-0B00-000001000000}">
      <formula1>"Founder,Engineering,Operations,Counsel,Unassigned"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7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42" customWidth="1"/>
    <col min="2" max="3" width="17" customWidth="1"/>
    <col min="4" max="4" width="87" customWidth="1"/>
  </cols>
  <sheetData>
    <row r="1" spans="1:4" ht="35.1" customHeight="1">
      <c r="A1" s="73" t="s">
        <v>1658</v>
      </c>
      <c r="B1" s="72"/>
      <c r="C1" s="72"/>
      <c r="D1" s="71"/>
    </row>
    <row r="2" spans="1:4" ht="48" customHeight="1">
      <c r="A2" s="71" t="s">
        <v>1659</v>
      </c>
      <c r="B2" s="72"/>
      <c r="C2" s="72"/>
      <c r="D2" s="71" t="s">
        <v>1660</v>
      </c>
    </row>
    <row r="3" spans="1:4" ht="32.1" customHeight="1">
      <c r="A3" s="71"/>
      <c r="B3" s="72"/>
      <c r="C3" s="72"/>
      <c r="D3" s="71"/>
    </row>
    <row r="4" spans="1:4" ht="32.1" customHeight="1">
      <c r="A4" s="74" t="s">
        <v>1661</v>
      </c>
      <c r="B4" s="75" t="s">
        <v>1662</v>
      </c>
      <c r="C4" s="75" t="s">
        <v>1663</v>
      </c>
      <c r="D4" s="74" t="s">
        <v>1664</v>
      </c>
    </row>
    <row r="5" spans="1:4" ht="32.1" customHeight="1">
      <c r="A5" s="71" t="s">
        <v>1665</v>
      </c>
      <c r="B5" s="76">
        <v>1000</v>
      </c>
      <c r="C5" s="76">
        <v>5000</v>
      </c>
      <c r="D5" s="71" t="s">
        <v>1666</v>
      </c>
    </row>
    <row r="6" spans="1:4" ht="32.1" customHeight="1">
      <c r="A6" s="71" t="s">
        <v>1667</v>
      </c>
      <c r="B6" s="76">
        <v>5000</v>
      </c>
      <c r="C6" s="76">
        <v>5000</v>
      </c>
      <c r="D6" s="71" t="s">
        <v>1668</v>
      </c>
    </row>
    <row r="7" spans="1:4" ht="32.1" customHeight="1">
      <c r="A7" s="71" t="s">
        <v>1669</v>
      </c>
      <c r="B7" s="81">
        <f>B5</f>
        <v>1000</v>
      </c>
      <c r="C7" s="81">
        <f>C5</f>
        <v>5000</v>
      </c>
      <c r="D7" s="71" t="s">
        <v>1670</v>
      </c>
    </row>
    <row r="8" spans="1:4" ht="48" customHeight="1">
      <c r="A8" s="71" t="s">
        <v>1671</v>
      </c>
      <c r="B8" s="81">
        <f>B36</f>
        <v>8170.8</v>
      </c>
      <c r="C8" s="81">
        <f>C36</f>
        <v>20469</v>
      </c>
      <c r="D8" s="71" t="s">
        <v>1672</v>
      </c>
    </row>
    <row r="9" spans="1:4" ht="48" customHeight="1">
      <c r="A9" s="71" t="s">
        <v>1673</v>
      </c>
      <c r="B9" s="81">
        <f>B45</f>
        <v>309</v>
      </c>
      <c r="C9" s="81">
        <f>C45</f>
        <v>1179</v>
      </c>
      <c r="D9" s="71" t="s">
        <v>1674</v>
      </c>
    </row>
    <row r="10" spans="1:4" ht="32.1" customHeight="1">
      <c r="A10" s="71" t="s">
        <v>1675</v>
      </c>
      <c r="B10" s="77">
        <v>3</v>
      </c>
      <c r="C10" s="77">
        <v>3</v>
      </c>
      <c r="D10" s="71" t="s">
        <v>1676</v>
      </c>
    </row>
    <row r="11" spans="1:4" ht="32.1" customHeight="1">
      <c r="A11" s="71" t="s">
        <v>1677</v>
      </c>
      <c r="B11" s="81">
        <f>B9*B10</f>
        <v>927</v>
      </c>
      <c r="C11" s="81">
        <f>C9*C10</f>
        <v>3537</v>
      </c>
      <c r="D11" s="71" t="s">
        <v>1678</v>
      </c>
    </row>
    <row r="12" spans="1:4" ht="48" customHeight="1">
      <c r="A12" s="71" t="s">
        <v>1679</v>
      </c>
      <c r="B12" s="76">
        <v>1000</v>
      </c>
      <c r="C12" s="76">
        <v>3000</v>
      </c>
      <c r="D12" s="71" t="s">
        <v>1680</v>
      </c>
    </row>
    <row r="13" spans="1:4" ht="48" customHeight="1">
      <c r="A13" s="82" t="s">
        <v>1681</v>
      </c>
      <c r="B13" s="83">
        <f>B8+B11+B12</f>
        <v>10097.799999999999</v>
      </c>
      <c r="C13" s="83">
        <f>C8+C11+C12</f>
        <v>27006</v>
      </c>
      <c r="D13" s="82" t="s">
        <v>1682</v>
      </c>
    </row>
    <row r="14" spans="1:4" ht="32.1" customHeight="1">
      <c r="A14" s="82" t="s">
        <v>1683</v>
      </c>
      <c r="B14" s="83">
        <f>MAX(0,B13-B7)</f>
        <v>9097.7999999999993</v>
      </c>
      <c r="C14" s="83">
        <f>MAX(0,C13-C7)</f>
        <v>22006</v>
      </c>
      <c r="D14" s="82" t="s">
        <v>1684</v>
      </c>
    </row>
    <row r="15" spans="1:4" ht="32.1" customHeight="1">
      <c r="A15" s="82" t="s">
        <v>1685</v>
      </c>
      <c r="B15" s="83">
        <f>MAX(0,B13-$C$5-$C$6)</f>
        <v>97.799999999999272</v>
      </c>
      <c r="C15" s="83">
        <f>MAX(0,C13-$C$5-$C$6)</f>
        <v>17006</v>
      </c>
      <c r="D15" s="82" t="s">
        <v>1686</v>
      </c>
    </row>
    <row r="16" spans="1:4" ht="32.1" customHeight="1">
      <c r="A16" s="71"/>
      <c r="B16" s="72"/>
      <c r="C16" s="72"/>
      <c r="D16" s="71"/>
    </row>
    <row r="17" spans="1:4" ht="48" customHeight="1">
      <c r="A17" s="71" t="s">
        <v>1687</v>
      </c>
      <c r="B17" s="72"/>
      <c r="C17" s="72"/>
      <c r="D17" s="71" t="s">
        <v>1688</v>
      </c>
    </row>
    <row r="18" spans="1:4" ht="63.95" customHeight="1">
      <c r="A18" s="71" t="s">
        <v>1689</v>
      </c>
      <c r="B18" s="72"/>
      <c r="C18" s="72"/>
      <c r="D18" s="71" t="s">
        <v>1690</v>
      </c>
    </row>
    <row r="19" spans="1:4" ht="32.1" customHeight="1">
      <c r="A19" s="71"/>
      <c r="B19" s="72"/>
      <c r="C19" s="72"/>
      <c r="D19" s="71"/>
    </row>
    <row r="20" spans="1:4" ht="32.1" customHeight="1">
      <c r="A20" s="74" t="s">
        <v>1691</v>
      </c>
      <c r="B20" s="75" t="s">
        <v>1662</v>
      </c>
      <c r="C20" s="75" t="s">
        <v>1663</v>
      </c>
      <c r="D20" s="74" t="s">
        <v>1692</v>
      </c>
    </row>
    <row r="21" spans="1:4" ht="48" customHeight="1">
      <c r="A21" s="71" t="s">
        <v>1693</v>
      </c>
      <c r="B21" s="76">
        <v>300</v>
      </c>
      <c r="C21" s="76">
        <v>800</v>
      </c>
      <c r="D21" s="71" t="s">
        <v>1694</v>
      </c>
    </row>
    <row r="22" spans="1:4" ht="48" customHeight="1">
      <c r="A22" s="71" t="s">
        <v>1695</v>
      </c>
      <c r="B22" s="76">
        <v>100</v>
      </c>
      <c r="C22" s="76">
        <v>300</v>
      </c>
      <c r="D22" t="str" s="71">
        <v>Specific tax/accounting advice only when needed. Maryland approval and EIN receipt confirmed Sept 16. Unquoted allowance unchanged.</v>
      </c>
    </row>
    <row r="23" spans="1:4" ht="48" customHeight="1">
      <c r="A23" s="82" t="s">
        <v>1697</v>
      </c>
      <c r="B23" s="83">
        <f>SUM(B21:B22)</f>
        <v>400</v>
      </c>
      <c r="C23" s="83">
        <f>SUM(C21:C22)</f>
        <v>1100</v>
      </c>
      <c r="D23" s="82" t="s">
        <v>1698</v>
      </c>
    </row>
    <row r="24" spans="1:4" ht="48" customHeight="1">
      <c r="A24" s="71" t="s">
        <v>1699</v>
      </c>
      <c r="B24" s="76">
        <v>250</v>
      </c>
      <c r="C24" s="76">
        <v>900</v>
      </c>
      <c r="D24" t="str" s="71">
        <v>Northwest formation: $196 confirmed paid. State approval and EIN receipt confirmed Sept 16. Actual recorded in Expense Tracker; planning allowance unchanged.</v>
      </c>
    </row>
    <row r="25" spans="1:4" ht="48" customHeight="1">
      <c r="A25" s="71" t="s">
        <v>1701</v>
      </c>
      <c r="B25" s="76">
        <v>2000</v>
      </c>
      <c r="C25" s="76">
        <v>6000</v>
      </c>
      <c r="D25" s="71" t="s">
        <v>1702</v>
      </c>
    </row>
    <row r="26" spans="1:4" ht="48" customHeight="1">
      <c r="A26" s="71" t="s">
        <v>1703</v>
      </c>
      <c r="B26" s="76">
        <v>500</v>
      </c>
      <c r="C26" s="76">
        <v>1500</v>
      </c>
      <c r="D26" s="71" t="s">
        <v>1704</v>
      </c>
    </row>
    <row r="27" spans="1:4" ht="48" customHeight="1">
      <c r="A27" s="71" t="s">
        <v>1705</v>
      </c>
      <c r="B27" s="76">
        <v>1500</v>
      </c>
      <c r="C27" s="76">
        <v>5000</v>
      </c>
      <c r="D27" s="71" t="s">
        <v>1706</v>
      </c>
    </row>
    <row r="28" spans="1:4" ht="48" customHeight="1">
      <c r="A28" s="71" t="s">
        <v>1707</v>
      </c>
      <c r="B28" s="76">
        <v>950</v>
      </c>
      <c r="C28" s="76">
        <v>950</v>
      </c>
      <c r="D28" s="71" t="s">
        <v>1708</v>
      </c>
    </row>
    <row r="29" spans="1:4" ht="48" customHeight="1">
      <c r="A29" s="71" t="s">
        <v>1709</v>
      </c>
      <c r="B29" s="76">
        <v>1000</v>
      </c>
      <c r="C29" s="76">
        <v>1000</v>
      </c>
      <c r="D29" s="71" t="s">
        <v>1710</v>
      </c>
    </row>
    <row r="30" spans="1:4" ht="48" customHeight="1">
      <c r="A30" s="71" t="s">
        <v>1711</v>
      </c>
      <c r="B30" s="81">
        <f>MAX(B56,B54*B55)</f>
        <v>99</v>
      </c>
      <c r="C30" s="81">
        <f>MAX(C56,C54*C55)</f>
        <v>250</v>
      </c>
      <c r="D30" s="71" t="s">
        <v>1712</v>
      </c>
    </row>
    <row r="31" spans="1:4" ht="48" customHeight="1">
      <c r="A31" s="71" t="s">
        <v>1713</v>
      </c>
      <c r="B31" s="81">
        <f>SUM(B26:B27)*B57</f>
        <v>110</v>
      </c>
      <c r="C31" s="81">
        <f>SUM(C26:C27)*C57</f>
        <v>357.5</v>
      </c>
      <c r="D31" s="71" t="s">
        <v>1714</v>
      </c>
    </row>
    <row r="32" spans="1:4" ht="48" customHeight="1">
      <c r="A32" s="71" t="s">
        <v>1715</v>
      </c>
      <c r="B32" s="81">
        <f>SUM(B24:B31)</f>
        <v>6409</v>
      </c>
      <c r="C32" s="81">
        <f>SUM(C24:C31)</f>
        <v>15957.5</v>
      </c>
      <c r="D32" s="71" t="s">
        <v>1716</v>
      </c>
    </row>
    <row r="33" spans="1:4" ht="32.1" customHeight="1">
      <c r="A33" s="71" t="s">
        <v>1717</v>
      </c>
      <c r="B33" s="81">
        <f>B23+B32</f>
        <v>6809</v>
      </c>
      <c r="C33" s="81">
        <f>C23+C32</f>
        <v>17057.5</v>
      </c>
      <c r="D33" s="71" t="s">
        <v>1718</v>
      </c>
    </row>
    <row r="34" spans="1:4" ht="48" customHeight="1">
      <c r="A34" s="71" t="s">
        <v>1719</v>
      </c>
      <c r="B34" s="78">
        <v>0.2</v>
      </c>
      <c r="C34" s="78">
        <v>0.2</v>
      </c>
      <c r="D34" s="71" t="s">
        <v>1720</v>
      </c>
    </row>
    <row r="35" spans="1:4" ht="32.1" customHeight="1">
      <c r="A35" s="71" t="s">
        <v>1721</v>
      </c>
      <c r="B35" s="81">
        <f>B33*B34</f>
        <v>1361.8000000000002</v>
      </c>
      <c r="C35" s="81">
        <f>C33*C34</f>
        <v>3411.5</v>
      </c>
      <c r="D35" s="71"/>
    </row>
    <row r="36" spans="1:4" ht="48" customHeight="1">
      <c r="A36" s="82" t="s">
        <v>1722</v>
      </c>
      <c r="B36" s="83">
        <f>B33+B35</f>
        <v>8170.8</v>
      </c>
      <c r="C36" s="83">
        <f>C33+C35</f>
        <v>20469</v>
      </c>
      <c r="D36" s="82" t="s">
        <v>1723</v>
      </c>
    </row>
    <row r="37" spans="1:4" ht="32.1" customHeight="1">
      <c r="A37" s="71"/>
      <c r="B37" s="72"/>
      <c r="C37" s="72"/>
      <c r="D37" s="71"/>
    </row>
    <row r="38" spans="1:4" ht="32.1" customHeight="1">
      <c r="A38" s="71"/>
      <c r="B38" s="72"/>
      <c r="C38" s="72"/>
      <c r="D38" s="71"/>
    </row>
    <row r="39" spans="1:4" ht="32.1" customHeight="1">
      <c r="A39" s="74" t="s">
        <v>1724</v>
      </c>
      <c r="B39" s="75" t="s">
        <v>1662</v>
      </c>
      <c r="C39" s="75" t="s">
        <v>1663</v>
      </c>
      <c r="D39" s="74" t="s">
        <v>1725</v>
      </c>
    </row>
    <row r="40" spans="1:4" ht="48" customHeight="1">
      <c r="A40" s="71" t="s">
        <v>1726</v>
      </c>
      <c r="B40" s="76">
        <v>75</v>
      </c>
      <c r="C40" s="76">
        <v>250</v>
      </c>
      <c r="D40" s="71" t="s">
        <v>1727</v>
      </c>
    </row>
    <row r="41" spans="1:4" ht="48" customHeight="1">
      <c r="A41" s="71" t="s">
        <v>1728</v>
      </c>
      <c r="B41" s="76">
        <v>10</v>
      </c>
      <c r="C41" s="76">
        <v>30</v>
      </c>
      <c r="D41" s="71" t="s">
        <v>1729</v>
      </c>
    </row>
    <row r="42" spans="1:4" ht="48" customHeight="1">
      <c r="A42" s="71" t="s">
        <v>1730</v>
      </c>
      <c r="B42" s="76">
        <v>25</v>
      </c>
      <c r="C42" s="76">
        <v>150</v>
      </c>
      <c r="D42" s="71" t="s">
        <v>1731</v>
      </c>
    </row>
    <row r="43" spans="1:4" ht="48" customHeight="1">
      <c r="A43" s="71" t="s">
        <v>1732</v>
      </c>
      <c r="B43" s="76">
        <v>99</v>
      </c>
      <c r="C43" s="76">
        <v>149</v>
      </c>
      <c r="D43" s="71" t="s">
        <v>1733</v>
      </c>
    </row>
    <row r="44" spans="1:4" ht="48" customHeight="1">
      <c r="A44" s="71" t="s">
        <v>1734</v>
      </c>
      <c r="B44" s="76">
        <v>100</v>
      </c>
      <c r="C44" s="76">
        <v>600</v>
      </c>
      <c r="D44" s="71" t="s">
        <v>1735</v>
      </c>
    </row>
    <row r="45" spans="1:4" ht="48" customHeight="1">
      <c r="A45" s="82" t="s">
        <v>1673</v>
      </c>
      <c r="B45" s="83">
        <f>SUM(B40:B44)</f>
        <v>309</v>
      </c>
      <c r="C45" s="83">
        <f>SUM(C40:C44)</f>
        <v>1179</v>
      </c>
      <c r="D45" s="82" t="s">
        <v>1736</v>
      </c>
    </row>
    <row r="46" spans="1:4" ht="32.1" customHeight="1">
      <c r="A46" s="71"/>
      <c r="B46" s="72"/>
      <c r="C46" s="72"/>
      <c r="D46" s="71"/>
    </row>
    <row r="47" spans="1:4" ht="48" customHeight="1">
      <c r="A47" s="71" t="s">
        <v>1737</v>
      </c>
      <c r="B47" s="81">
        <f>SUM(B28:B29)</f>
        <v>1950</v>
      </c>
      <c r="C47" s="81">
        <f>SUM(C28:C29)</f>
        <v>1950</v>
      </c>
      <c r="D47" s="71" t="s">
        <v>1738</v>
      </c>
    </row>
    <row r="48" spans="1:4" ht="32.1" customHeight="1">
      <c r="A48" s="71"/>
      <c r="B48" s="72"/>
      <c r="C48" s="72"/>
      <c r="D48" s="71"/>
    </row>
    <row r="49" spans="1:4" ht="63.95" customHeight="1">
      <c r="A49" s="71" t="s">
        <v>1739</v>
      </c>
      <c r="B49" s="72"/>
      <c r="C49" s="72"/>
      <c r="D49" s="71" t="s">
        <v>1740</v>
      </c>
    </row>
    <row r="50" spans="1:4" ht="63.95" customHeight="1">
      <c r="A50" s="71" t="s">
        <v>1741</v>
      </c>
      <c r="B50" s="72"/>
      <c r="C50" s="72"/>
      <c r="D50" s="71" t="s">
        <v>1742</v>
      </c>
    </row>
    <row r="51" spans="1:4" ht="63.95" customHeight="1">
      <c r="A51" s="71" t="s">
        <v>1743</v>
      </c>
      <c r="B51" s="72"/>
      <c r="C51" s="72"/>
      <c r="D51" s="71" t="s">
        <v>1744</v>
      </c>
    </row>
    <row r="52" spans="1:4" ht="32.1" customHeight="1">
      <c r="A52" s="71"/>
      <c r="B52" s="72"/>
      <c r="C52" s="72"/>
      <c r="D52" s="71"/>
    </row>
    <row r="53" spans="1:4" ht="32.1" customHeight="1">
      <c r="A53" s="74" t="s">
        <v>1745</v>
      </c>
      <c r="B53" s="75" t="s">
        <v>1662</v>
      </c>
      <c r="C53" s="75" t="s">
        <v>1663</v>
      </c>
      <c r="D53" s="74" t="s">
        <v>1746</v>
      </c>
    </row>
    <row r="54" spans="1:4" ht="48" customHeight="1">
      <c r="A54" s="71" t="s">
        <v>1747</v>
      </c>
      <c r="B54" s="77">
        <v>25</v>
      </c>
      <c r="C54" s="77">
        <v>100</v>
      </c>
      <c r="D54" s="71" t="s">
        <v>1748</v>
      </c>
    </row>
    <row r="55" spans="1:4" ht="63.95" customHeight="1">
      <c r="A55" s="71" t="s">
        <v>1749</v>
      </c>
      <c r="B55" s="79">
        <v>1.39</v>
      </c>
      <c r="C55" s="79">
        <v>2.5</v>
      </c>
      <c r="D55" s="71" t="s">
        <v>1750</v>
      </c>
    </row>
    <row r="56" spans="1:4" ht="63.95" customHeight="1">
      <c r="A56" s="71" t="s">
        <v>1751</v>
      </c>
      <c r="B56" s="76">
        <v>99</v>
      </c>
      <c r="C56" s="76">
        <v>149</v>
      </c>
      <c r="D56" s="71" t="s">
        <v>1752</v>
      </c>
    </row>
    <row r="57" spans="1:4" ht="63.95" customHeight="1">
      <c r="A57" s="71" t="s">
        <v>1753</v>
      </c>
      <c r="B57" s="80">
        <v>5.5E-2</v>
      </c>
      <c r="C57" s="80">
        <v>5.5E-2</v>
      </c>
      <c r="D57" s="71" t="s">
        <v>1754</v>
      </c>
    </row>
    <row r="58" spans="1:4" ht="32.1" customHeight="1">
      <c r="A58" s="71"/>
      <c r="B58" s="72"/>
      <c r="C58" s="72"/>
      <c r="D58" s="71"/>
    </row>
    <row r="59" spans="1:4" ht="32.1" customHeight="1">
      <c r="A59" s="74" t="s">
        <v>1755</v>
      </c>
      <c r="B59" s="75"/>
      <c r="C59" s="75"/>
      <c r="D59" s="74"/>
    </row>
    <row r="60" spans="1:4" ht="48" customHeight="1">
      <c r="A60" s="71" t="s">
        <v>1756</v>
      </c>
      <c r="B60" s="72"/>
      <c r="C60" s="72"/>
      <c r="D60" s="71" t="s">
        <v>1757</v>
      </c>
    </row>
    <row r="61" spans="1:4" ht="48" customHeight="1">
      <c r="A61" s="71" t="s">
        <v>1758</v>
      </c>
      <c r="B61" s="72"/>
      <c r="C61" s="72"/>
      <c r="D61" s="71" t="s">
        <v>1759</v>
      </c>
    </row>
    <row r="62" spans="1:4" ht="48" customHeight="1">
      <c r="A62" s="71" t="s">
        <v>1760</v>
      </c>
      <c r="B62" s="72"/>
      <c r="C62" s="72"/>
      <c r="D62" s="71" t="s">
        <v>1761</v>
      </c>
    </row>
    <row r="63" spans="1:4" ht="48" customHeight="1">
      <c r="A63" s="71" t="s">
        <v>1762</v>
      </c>
      <c r="B63" s="72"/>
      <c r="C63" s="72"/>
      <c r="D63" s="71" t="s">
        <v>1763</v>
      </c>
    </row>
    <row r="64" spans="1:4" ht="48" customHeight="1">
      <c r="A64" s="71" t="s">
        <v>1764</v>
      </c>
      <c r="B64" s="72"/>
      <c r="C64" s="72"/>
      <c r="D64" s="71" t="s">
        <v>1765</v>
      </c>
    </row>
    <row r="65" spans="1:4" ht="48" customHeight="1">
      <c r="A65" s="71" t="s">
        <v>1766</v>
      </c>
      <c r="B65" s="72"/>
      <c r="C65" s="72"/>
      <c r="D65" s="71" t="s">
        <v>1767</v>
      </c>
    </row>
    <row r="66" spans="1:4" ht="63.95" customHeight="1">
      <c r="A66" s="71" t="s">
        <v>1768</v>
      </c>
      <c r="B66" s="72"/>
      <c r="C66" s="72"/>
      <c r="D66" s="71" t="s">
        <v>1769</v>
      </c>
    </row>
    <row r="67" spans="1:4" ht="63.95" customHeight="1">
      <c r="A67" s="71" t="s">
        <v>1770</v>
      </c>
      <c r="B67" s="72"/>
      <c r="C67" s="72"/>
      <c r="D67" s="71" t="s">
        <v>1771</v>
      </c>
    </row>
    <row r="68" spans="1:4" ht="63.95" customHeight="1">
      <c r="A68" s="71" t="s">
        <v>1772</v>
      </c>
      <c r="B68" s="72"/>
      <c r="C68" s="72"/>
      <c r="D68" s="71" t="s">
        <v>1773</v>
      </c>
    </row>
    <row r="69" spans="1:4" ht="32.1" customHeight="1">
      <c r="A69" s="71"/>
      <c r="B69" s="72"/>
      <c r="C69" s="72"/>
      <c r="D69" s="71"/>
    </row>
    <row r="70" spans="1:4" ht="32.1" customHeight="1">
      <c r="A70" s="71"/>
      <c r="B70" s="72"/>
      <c r="C70" s="72"/>
      <c r="D70" s="71"/>
    </row>
    <row r="71" spans="1:4" ht="32.1" customHeight="1">
      <c r="A71" s="71"/>
      <c r="B71" s="72"/>
      <c r="C71" s="72"/>
      <c r="D71" s="71"/>
    </row>
    <row r="72" spans="1:4" ht="32.1" customHeight="1">
      <c r="A72" s="71"/>
      <c r="B72" s="72"/>
      <c r="C72" s="72"/>
      <c r="D72" s="71"/>
    </row>
    <row r="73" spans="1:4" ht="32.1" customHeight="1">
      <c r="A73" s="71"/>
      <c r="B73" s="72"/>
      <c r="C73" s="72"/>
      <c r="D73" s="71"/>
    </row>
    <row r="74" spans="1:4" ht="32.1" customHeight="1">
      <c r="A74" s="71"/>
      <c r="B74" s="72"/>
      <c r="C74" s="72"/>
      <c r="D74" s="71"/>
    </row>
    <row r="75" spans="1:4" ht="32.1" customHeight="1">
      <c r="A75" s="71"/>
      <c r="B75" s="72"/>
      <c r="C75" s="72"/>
      <c r="D75" s="7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Master Tracker</vt:lpstr>
      <vt:lpstr>Backlog</vt:lpstr>
      <vt:lpstr>Notes &amp; Assumptions</vt:lpstr>
      <vt:lpstr>💸 Expense Tracker</vt:lpstr>
      <vt:lpstr>Legacy Overview 2026-08-16</vt:lpstr>
      <vt:lpstr>Controls</vt:lpstr>
      <vt:lpstr>Phase Roadmap</vt:lpstr>
      <vt:lpstr>Delivery Tracker</vt:lpstr>
      <vt:lpstr>Review &amp; Blocker Queue</vt:lpstr>
      <vt:lpstr>Daily Log</vt:lpstr>
      <vt:lpstr>Decision Register</vt:lpstr>
      <vt:lpstr>Launch 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 Fernandez</cp:lastModifiedBy>
  <dcterms:modified xsi:type="dcterms:W3CDTF">2026-09-10T22:18:06Z</dcterms:modified>
</cp:coreProperties>
</file>