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fbc2d3aaf443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08ff691d17d4fcd"/>
    <x:sheet xmlns:r="http://schemas.openxmlformats.org/officeDocument/2006/relationships" name="Master Tracker" sheetId="2" r:id="R4dc5d1a1797548ac"/>
    <x:sheet xmlns:r="http://schemas.openxmlformats.org/officeDocument/2006/relationships" name="Backlog" sheetId="3" r:id="R18719fd98ac84798"/>
    <x:sheet xmlns:r="http://schemas.openxmlformats.org/officeDocument/2006/relationships" name="Notes &amp; Assumptions" sheetId="4" r:id="R6a4eff3f9e634c2b"/>
    <x:sheet xmlns:r="http://schemas.openxmlformats.org/officeDocument/2006/relationships" name="💸 Expense Tracker" sheetId="5" r:id="R5eee08496eeb436d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<x:sst xmlns:x="http://schemas.openxmlformats.org/spreadsheetml/2006/main">
  <x:si>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</x:si>
  <x:si>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</x:si>
  <x:si>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</x:si>
  <x:si>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</x:si>
  <x:si>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</x:si>
  <x:si>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</x:si>
  <x:si>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</x:si>
  <x:si>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</x:si>
  <x:si>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</x:si>
  <x:si>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</x:si>
  <x:si>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</x:si>
  <x:si>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</x:si>
  <x:si>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</x:si>
  <x:si>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</x:si>
  <x:si>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</x:si>
  <x:si>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</x:si>
  <x:si>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</x:si>
  <x:si>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</x:si>
  <x:si>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</x:si>
  <x:si>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</x:si>
  <x:si>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</x:si>
  <x:si>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</x:si>
  <x:si>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</x:si>
  <x:si>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</x:si>
  <x:si>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</x:si>
  <x:si>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</x:si>
  <x:si>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</x:si>
  <x:si>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</x:si>
  <x:si>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</x:si>
  <x:si>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</x:si>
  <x:si>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</x:si>
  <x:si>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</x:si>
  <x:si>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</x:si>
  <x:si>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</x:si>
  <x:si>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</x:si>
  <x:si>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</x:si>
  <x:si>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</x:si>
  <x:si>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</x:si>
  <x:si>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</x:si>
  <x:si>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</x:si>
  <x:si>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</x:si>
  <x:si>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</x:si>
  <x:si>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</x:si>
  <x:si>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</x:si>
  <x:si>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</x:si>
  <x:si>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</x:si>
  <x:si>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</x:si>
  <x:si>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</x:si>
  <x:si>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</x:si>
  <x:si>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</x:si>
  <x:si>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</x:si>
  <x:si>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</x:si>
  <x:si>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</x:si>
  <x:si>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</x:si>
  <x:si>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</x:si>
  <x:si>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</x:si>
  <x:si>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</x:si>
  <x:si>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</x:si>
  <x:si>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</x:si>
  <x:si>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</x:si>
  <x:si>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</x:si>
  <x:si>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</x:si>
  <x:si>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</x:si>
  <x:si>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</x:si>
  <x:si>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</x:si>
  <x:si>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</x:si>
  <x:si>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</x:si>
  <x:si>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</x:si>
  <x:si>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</x:si>
  <x:si>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</x:si>
  <x:si>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</x:si>
  <x:si>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</x:si>
  <x:si>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</x:si>
  <x:si>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</x:si>
  <x:si>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</x:si>
  <x:si>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</x:si>
  <x:si>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</x:si>
  <x:si>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</x:si>
  <x:si>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</x:si>
  <x:si>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</x:si>
  <x:si>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</x:si>
  <x:si>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</x:si>
  <x:si>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</x:si>
  <x:si>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</x:si>
  <x:si>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</x:si>
  <x:si>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</x:si>
  <x:si>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</x:si>
  <x:si>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</x:si>
  <x:si>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</x:si>
  <x:si>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</x:si>
  <x:si>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</x:si>
  <x:si>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</x:si>
  <x:si>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</x:si>
  <x:si>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</x:si>
  <x:si>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</x:si>
  <x:si>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</x:si>
  <x:si>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</x:si>
  <x:si>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</x:si>
  <x:si>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</x:si>
  <x:si>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</x:si>
  <x:si>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</x:si>
  <x:si>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</x:si>
  <x:si>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</x:si>
  <x:si>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</x:si>
  <x:si>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</x:si>
  <x:si>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</x:si>
  <x:si>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</x:si>
  <x:si>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</x:si>
  <x:si>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</x:si>
  <x:si>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</x:si>
  <x:si>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</x:si>
  <x:si>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</x:si>
  <x:si>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</x:si>
  <x:si>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</x:si>
  <x:si>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</x:si>
  <x:si>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</x:si>
  <x:si>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</x:si>
  <x:si>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</x:si>
  <x:si>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</x:si>
  <x:si>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</x:si>
  <x:si>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</x:si>
  <x:si>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</x:si>
  <x:si>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</x:si>
  <x:si>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</x:si>
  <x:si>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</x:si>
  <x:si>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</x:si>
  <x:si>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</x:si>
  <x:si>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</x:si>
  <x:si>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Required early; tracked as active design work.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</x:si>
  <x:si>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</x:si>
  <x:si>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</x:si>
  <x:si>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</x:si>
  <x:si>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</x:si>
  <x:si>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</x:si>
  <x:si>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</x:si>
  <x:si>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</x:si>
  <x:si>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</x:si>
  <x:si>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</x:si>
  <x:si>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</x:si>
  <x:si>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</x:si>
  <x:si>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</x:si>
  <x:si>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</x:si>
  <x:si>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</x:si>
  <x:si>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</x:si>
  <x:si>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</x:si>
  <x:si>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</x:si>
  <x:si>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</x:si>
  <x:si>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</x:si>
  <x:si>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</x:si>
  <x:si>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</x:si>
  <x:si>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</x:si>
  <x:si>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</x:si>
  <x:si>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</x:si>
  <x:si>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</x:si>
  <x:si>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</x:si>
  <x:si>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</x:si>
  <x:si>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</x:si>
  <x:si>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</x:si>
  <x:si>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</x:si>
  <x:si>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</x:si>
  <x:si>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</x:si>
  <x:si>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</x:si>
  <x:si>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</x:si>
  <x:si>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</x:si>
  <x:si>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</x:si>
  <x:si>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</x:si>
  <x:si>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</x:si>
  <x:si>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</x:si>
  <x:si>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</x:si>
  <x:si>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</x:si>
  <x:si>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</x:si>
  <x:si>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</x:si>
  <x:si>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</x:si>
  <x:si>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</x:si>
  <x:si>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</x:si>
  <x:si>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</x:si>
  <x:si>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</x:si>
  <x:si>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</x:si>
  <x:si>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</x:si>
  <x:si>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</x:si>
  <x:si>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</x:si>
  <x:si>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</x:si>
  <x:si>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</x:si>
  <x:si>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</x:si>
  <x:si>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</x:si>
  <x:si>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</x:si>
  <x:si>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</x:si>
  <x:si>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</x:si>
  <x:si>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</x:si>
  <x:si>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</x:si>
  <x:si>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</x:si>
  <x:si>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</x:si>
  <x:si>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</x:si>
  <x:si>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</x:si>
  <x:si>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</x:si>
  <x:si>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</x:si>
  <x:si>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</x:si>
  <x:si>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</x:si>
  <x:si>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</x:si>
  <x:si>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</x:si>
  <x:si>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</x:si>
  <x:si>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</x:si>
  <x:si>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</x:si>
  <x:si>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</x:si>
  <x:si>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</x:si>
  <x:si>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</x:si>
  <x:si>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</x:si>
  <x:si>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</x:si>
  <x:si>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</x:si>
  <x:si>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Keep minimal for MVP. Theme toggle and NSFW toggle are the critical elements.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</x:si>
  <x:si>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</x:si>
  <x:si>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</x:si>
  <x:si>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</x:si>
  <x:si>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</x:si>
  <x:si>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</x:si>
  <x:si>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</x:si>
  <x:si>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</x:si>
  <x:si>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</x:si>
  <x:si>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</x:si>
  <x:si>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</x:si>
  <x:si>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</x:si>
  <x:si>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</x:si>
  <x:si>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</x:si>
  <x:si>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</x:si>
  <x:si>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</x:si>
  <x:si>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</x:si>
  <x:si>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</x:si>
  <x:si>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</x:si>
  <x:si>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</x:si>
  <x:si>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</x:si>
  <x:si>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</x:si>
  <x:si>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</x:si>
  <x:si>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</x:si>
  <x:si>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</x:si>
  <x:si>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</x:si>
  <x:si>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</x:si>
  <x:si>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</x:si>
  <x:si>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</x:si>
  <x:si>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</x:si>
  <x:si>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</x:si>
  <x:si>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</x:si>
  <x:si>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</x:si>
  <x:si>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</x:si>
  <x:si>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</x:si>
  <x:si>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</x:si>
  <x:si>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</x:si>
  <x:si>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</x:si>
  <x:si>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</x:si>
  <x:si>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</x:si>
  <x:si>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</x:si>
  <x:si>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</x:si>
  <x:si>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</x:si>
  <x:si>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</x:si>
  <x:si>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</x:si>
  <x:si>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</x:si>
  <x:si>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</x:si>
  <x:si>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</x:si>
  <x:si>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</x:si>
  <x:si>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</x:si>
  <x:si>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</x:si>
  <x:si>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</x:si>
  <x:si>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</x:si>
  <x:si>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</x:si>
  <x:si>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</x:si>
  <x:si>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</x:si>
  <x:si>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</x:si>
  <x:si>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</x:si>
  <x:si>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</x:si>
  <x:si>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</x:si>
  <x:si>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</x:si>
  <x:si>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</x:si>
  <x:si>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</x:si>
  <x:si>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</x:si>
  <x:si>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</x:si>
  <x:si>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</x:si>
  <x:si>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</x:si>
  <x:si>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</x:si>
  <x:si>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</x:si>
  <x:si>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</x:si>
  <x:si>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</x:si>
  <x:si>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</x:si>
  <x:si>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</x:si>
  <x:si>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</x:si>
  <x:si>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</x:si>
  <x:si>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</x:si>
  <x:si>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</x:si>
  <x:si>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</x:si>
  <x:si>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Required before any creator goes live. Tied to 2257 compliance.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</x:si>
  <x:si>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</x:si>
  <x:si>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</x:si>
  <x:si>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</x:si>
  <x:si>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</x:si>
  <x:si>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</x:si>
  <x:si>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</x:si>
  <x:si>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</x:si>
  <x:si>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</x:si>
  <x:si>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</x:si>
  <x:si>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</x:si>
  <x:si>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</x:si>
  <x:si>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</x:si>
  <x:si>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</x:si>
  <x:si>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</x:si>
  <x:si>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</x:si>
  <x:si>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</x:si>
  <x:si>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</x:si>
  <x:si>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</x:si>
  <x:si>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</x:si>
  <x:si>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</x:si>
  <x:si>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</x:si>
  <x:si>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</x:si>
  <x:si>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</x:si>
  <x:si>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</x:si>
  <x:si>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</x:si>
  <x:si>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</x:si>
  <x:si>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Useful for security, accountability, and legal protection.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</x:si>
  <x:si>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</x:si>
  <x:si>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</x:si>
  <x:si>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</x:si>
  <x:si>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</x:si>
  <x:si>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</x:si>
  <x:si>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</x:si>
  <x:si>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</x:si>
  <x:si>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</x:si>
  <x:si>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</x:si>
  <x:si>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</x:si>
  <x:si>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</x:si>
  <x:si>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</x:si>
  <x:si>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</x:si>
  <x:si>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</x:si>
  <x:si>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</x:si>
  <x:si>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</x:si>
  <x:si>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</x:si>
  <x:si>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</x:si>
  <x:si>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</x:si>
  <x:si>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</x:si>
  <x:si>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</x:si>
  <x:si>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</x:si>
  <x:si>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</x:si>
  <x:si>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</x:si>
  <x:si>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</x:si>
  <x:si>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</x:si>
  <x:si>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</x:si>
  <x:si>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</x:si>
  <x:si>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</x:si>
  <x:si>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</x:si>
  <x:si>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</x:si>
  <x:si>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</x:si>
  <x:si>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</x:si>
  <x:si>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</x:si>
  <x:si>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</x:si>
  <x:si>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</x:si>
  <x:si>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</x:si>
  <x:si>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</x:si>
  <x:si>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Checklist organization underway.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</x:si>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</x:sst>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3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41ee39c2b4441a" /><Relationship Type="http://schemas.openxmlformats.org/officeDocument/2006/relationships/theme" Target="/xl/theme/theme1.xml" Id="R9c368c7058f34e4b" /><Relationship Type="http://schemas.openxmlformats.org/officeDocument/2006/relationships/sharedStrings" Target="/xl/sharedStrings.xml" Id="R12046076365d4b35" /><Relationship Type="http://schemas.openxmlformats.org/officeDocument/2006/relationships/worksheet" Target="/xl/worksheets/sheet1.xml" Id="R508ff691d17d4fcd" /><Relationship Type="http://schemas.openxmlformats.org/officeDocument/2006/relationships/worksheet" Target="/xl/worksheets/sheet2.xml" Id="R4dc5d1a1797548ac" /><Relationship Type="http://schemas.openxmlformats.org/officeDocument/2006/relationships/worksheet" Target="/xl/worksheets/sheet3.xml" Id="R18719fd98ac84798" /><Relationship Type="http://schemas.openxmlformats.org/officeDocument/2006/relationships/worksheet" Target="/xl/worksheets/sheet4.xml" Id="R6a4eff3f9e634c2b" /><Relationship Type="http://schemas.openxmlformats.org/officeDocument/2006/relationships/worksheet" Target="/xl/worksheets/sheet5.xml" Id="R5eee08496eeb436d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19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46</x:v>
      </x:c>
    </x:row>
    <x:row r="8">
      <x:c r="A8" s="7" t="s">
        <x:v>7</x:v>
      </x:c>
      <x:c r="B8" s="7" t="n">
        <x:f>COUNTIF('Master Tracker'!C4:C164,"📋 Not Started")</x:f>
        <x:v>83</x:v>
      </x:c>
    </x:row>
    <x:row r="9">
      <x:c r="A9" s="6" t="s">
        <x:v>9</x:v>
      </x:c>
      <x:c r="B9" s="8" t="n">
        <x:f>IF(B5=0,0,B6/B5)</x:f>
        <x:v>0.12837837837837837</x:v>
      </x:c>
    </x:row>
    <x:row r="10" ht="13.5" customHeight="1"/>
    <x:row r="12">
      <x:c r="A12" s="9" t="s">
        <x:v>10</x:v>
      </x:c>
      <x:c r="C12" s="9" t="s">
        <x:v>11</x:v>
      </x:c>
    </x:row>
    <x:row r="13" ht="15" hidden="0" customHeight="1">
      <x:c r="A13" s="9" t="s">
        <x:v>6</x:v>
      </x:c>
      <x:c r="C13" s="31" t="str">
        <x:v>Counts are derived from the Master Tracker through August 1, 2026. Section headers are excluded.</x:v>
      </x:c>
    </x:row>
    <x:row r="14" ht="15" hidden="0" customHeight="1">
      <x:c r="A14" s="9" t="s">
        <x:v>8</x:v>
      </x:c>
      <x:c r="C14" s="10" t="s">
        <x:v>12</x:v>
      </x:c>
    </x:row>
    <x:row r="15" ht="15" hidden="0" customHeight="1">
      <x:c r="A15" s="9" t="s">
        <x:v>7</x:v>
      </x:c>
      <x:c r="C15" s="10" t="s">
        <x:v>13</x:v>
      </x:c>
    </x:row>
    <x:row r="16" ht="15" hidden="0" customHeight="1">
      <x:c r="C16" s="10" t="s">
        <x:v>14</x:v>
      </x:c>
    </x:row>
    <x:row r="17" ht="15" hidden="0" customHeight="1">
      <x:c r="C17" s="10" t="s">
        <x:v>15</x:v>
      </x:c>
    </x:row>
    <x:row r="18" ht="15" hidden="0" customHeight="1">
      <x:c r="C18" s="10" t="s">
        <x:v>16</x:v>
      </x:c>
    </x:row>
    <x:row r="19" ht="15" hidden="0" customHeight="1">
      <x:c r="C19" s="10" t="s">
        <x:v>17</x:v>
      </x:c>
    </x:row>
    <x:row r="20" ht="26.399999618530273" hidden="0" customHeight="1">
      <x:c r="C20" s="37" t="str">
        <x:v>Phase 1 is verified; Phase 2 remains partial; Phase 3 Slices 1–3 are published and CI-verified. Slice 4 is in progress with the default-hidden explicit-content preference vertical cut locally verified.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>
      <x:c r="A8" s="20" t="s">
        <x:v>34</x:v>
      </x:c>
      <x:c r="B8" s="21" t="s">
        <x:v>35</x:v>
      </x:c>
      <x:c r="C8" s="23" t="s">
        <x:v>8</x:v>
      </x:c>
      <x:c r="D8" s="22" t="inlineStr">
        <x:is>
          <x:t xml:space="preserve">Detailed phased roadmap created in repository PLAN.md; tracker reconciliation continues.</x:t>
        </x:is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15.75" customHeight="1">
      <x:c r="A41" s="20" t="s">
        <x:v>126</x:v>
      </x:c>
      <x:c r="B41" s="21" t="s">
        <x:v>127</x:v>
      </x:c>
      <x:c r="C41" s="23" t="s">
        <x:v>8</x:v>
      </x:c>
      <x:c r="D41" s="22" t="s">
        <x:v>128</x:v>
      </x:c>
    </x:row>
    <x:row r="42" ht="15.75" customHeight="1">
      <x:c r="A42" s="16" t="s">
        <x:v>129</x:v>
      </x:c>
      <x:c r="B42" s="17" t="s">
        <x:v>130</x:v>
      </x:c>
      <x:c r="C42" s="24" t="s">
        <x:v>7</x:v>
      </x:c>
      <x:c r="D42" s="19" t="s">
        <x:v>131</x:v>
      </x:c>
    </x:row>
    <x:row r="43" ht="15.75" customHeight="1">
      <x:c r="A43" s="20" t="s">
        <x:v>132</x:v>
      </x:c>
      <x:c r="B43" s="21" t="s">
        <x:v>133</x:v>
      </x:c>
      <x:c r="C43" s="24" t="s">
        <x:v>7</x:v>
      </x:c>
      <x:c r="D43" s="22" t="s">
        <x:v>134</x:v>
      </x:c>
    </x:row>
    <x:row r="44" ht="27.75" customHeight="1">
      <x:c r="A44" s="15" t="s">
        <x:v>135</x:v>
      </x:c>
      <x:c r="B44" s="2"/>
      <x:c r="C44" s="2"/>
      <x:c r="D44" s="3"/>
    </x:row>
    <x:row r="45" ht="15.75" customHeight="1">
      <x:c r="A45" s="16" t="s">
        <x:v>136</x:v>
      </x:c>
      <x:c r="B45" s="17" t="s">
        <x:v>137</x:v>
      </x:c>
      <x:c r="C45" s="18" t="s">
        <x:v>6</x:v>
      </x:c>
      <x:c r="D45" s="19" t="s">
        <x:v>138</x:v>
      </x:c>
    </x:row>
    <x:row r="46" ht="15.75" customHeight="1">
      <x:c r="A46" s="20" t="s">
        <x:v>139</x:v>
      </x:c>
      <x:c r="B46" s="21" t="s">
        <x:v>140</x:v>
      </x:c>
      <x:c r="C46" s="24" t="s">
        <x:v>7</x:v>
      </x:c>
      <x:c r="D46" s="22" t="s">
        <x:v>141</x:v>
      </x:c>
    </x:row>
    <x:row r="47" ht="24" hidden="0" customHeight="1">
      <x:c r="A47" s="16" t="s">
        <x:v>142</x:v>
      </x:c>
      <x:c r="B47" s="17" t="s">
        <x:v>143</x:v>
      </x:c>
      <x:c r="C47" s="24" t="str">
        <x:v>🔄 In Progress</x:v>
      </x:c>
      <x:c r="D47" s="19" t="str">
        <x:v>Local PostgreSQL/Prisma now includes repeatable User, Session, append-only AcceptanceRecord, transient VerificationToken, and one-to-one UserPreference migrations. Remaining product domains and production RDS schema are pending.</x:v>
      </x:c>
    </x:row>
    <x:row r="48" ht="15" hidden="0" customHeight="1">
      <x:c r="A48" s="20" t="s">
        <x:v>144</x:v>
      </x:c>
      <x:c r="B48" s="21" t="s">
        <x:v>145</x:v>
      </x:c>
      <x:c r="C48" s="24" t="str">
        <x:v>🔄 In Progress</x:v>
      </x:c>
      <x:c r="D48" s="22" t="str">
        <x:v>Local environment is defined with validated variables and Docker PostgreSQL. Staging and production infrastructure remain pending.</x:v>
      </x:c>
    </x:row>
    <x:row r="49" ht="15" hidden="0" customHeight="1">
      <x:c r="A49" s="16" t="s">
        <x:v>146</x:v>
      </x:c>
      <x:c r="B49" s="17" t="s">
        <x:v>147</x:v>
      </x:c>
      <x:c r="C49" s="23" t="inlineStr">
        <x:is>
          <x:t xml:space="preserve">🔄 In Progress</x:t>
        </x:is>
      </x:c>
      <x:c r="D49" s="19" t="str">
        <x:v>Implemented /api/v1 health/readiness, core auth, email verification, password reset, logout/logout-all, /me, and authenticated preference reads/updates. Later product domains remain pending.</x:v>
      </x:c>
    </x:row>
    <x:row r="50" ht="15" hidden="0" customHeight="1">
      <x:c r="A50" s="20" t="s">
        <x:v>148</x:v>
      </x:c>
      <x:c r="B50" s="21" t="s">
        <x:v>149</x:v>
      </x:c>
      <x:c r="C50" s="24" t="str">
        <x:v>🔄 In Progress</x:v>
      </x:c>
      <x:c r="D50" s="22" t="str">
        <x:v>Structured Pino request logging is implemented with request IDs and secret-header redaction. Sentry/operational error monitoring remains pending.</x:v>
      </x:c>
    </x:row>
    <x:row r="51" ht="15" hidden="0" customHeight="1">
      <x:c r="A51" s="16" t="s">
        <x:v>150</x:v>
      </x:c>
      <x:c r="B51" s="17" t="s">
        <x:v>151</x:v>
      </x:c>
      <x:c r="C51" s="24" t="s">
        <x:v>7</x:v>
      </x:c>
      <x:c r="D51" s="19" t="s">
        <x:v>152</x:v>
      </x:c>
    </x:row>
    <x:row r="52" ht="24" hidden="0" customHeight="1">
      <x:c r="A52" s="20" t="s">
        <x:v>153</x:v>
      </x:c>
      <x:c r="B52" s="21" t="s">
        <x:v>154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15" hidden="0" customHeight="1">
      <x:c r="A53" s="16" t="s">
        <x:v>155</x:v>
      </x:c>
      <x:c r="B53" s="17" t="s">
        <x:v>156</x:v>
      </x:c>
      <x:c r="C53" s="23" t="inlineStr">
        <x:is>
          <x:t xml:space="preserve">🔄 In Progress</x:t>
        </x:is>
      </x:c>
      <x:c r="D53" s="19" t="str">
        <x:v>CI runs web lint/tests/build/E2E plus API build, migrations, seed, and DB-backed tests on PostgreSQL 17. Deployment automation remains pending.</x:v>
      </x:c>
    </x:row>
    <x:row r="54" ht="15" hidden="0" customHeight="1">
      <x:c r="A54" s="20" t="s">
        <x:v>157</x:v>
      </x:c>
      <x:c r="B54" s="21" t="s">
        <x:v>158</x:v>
      </x:c>
      <x:c r="C54" s="24" t="s">
        <x:v>7</x:v>
      </x:c>
      <x:c r="D54" s="22" t="s">
        <x:v>159</x:v>
      </x:c>
    </x:row>
    <x:row r="55" ht="27.75" customHeight="1">
      <x:c r="A55" s="15" t="s">
        <x:v>160</x:v>
      </x:c>
      <x:c r="B55" s="2"/>
      <x:c r="C55" s="2"/>
      <x:c r="D55" s="3"/>
    </x:row>
    <x:row r="56" ht="24" hidden="0" customHeight="1">
      <x:c r="A56" s="16" t="s">
        <x:v>161</x:v>
      </x:c>
      <x:c r="B56" s="17" t="s">
        <x:v>162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15" hidden="0" customHeight="1">
      <x:c r="A57" s="20" t="s">
        <x:v>163</x:v>
      </x:c>
      <x:c r="B57" s="21" t="s">
        <x:v>164</x:v>
      </x:c>
      <x:c r="C57" s="24" t="str">
        <x:v>✅ Done</x:v>
      </x:c>
      <x:c r="D57" s="22" t="str">
        <x:v>Slice 3 enforces uppercase MEMBER/CREATOR/ADMIN role routing and protected-route authorization in the frontend.</x:v>
      </x:c>
    </x:row>
    <x:row r="58" ht="24" hidden="0" customHeight="1">
      <x:c r="A58" s="16" t="s">
        <x:v>165</x:v>
      </x:c>
      <x:c r="B58" s="17" t="s">
        <x:v>166</x:v>
      </x:c>
      <x:c r="C58" s="24" t="str">
        <x:v>✅ Done</x:v>
      </x:c>
      <x:c r="D58" s="19" t="str">
        <x:v>Slice 3 restores HttpOnly-cookie sessions with /me, handles expiry/401 globally, and supports logout from the member shell.</x:v>
      </x:c>
    </x:row>
    <x:row r="59" ht="15" hidden="0" customHeight="1">
      <x:c r="A59" s="20" t="s">
        <x:v>167</x:v>
      </x:c>
      <x:c r="B59" s="21" t="s">
        <x:v>168</x:v>
      </x:c>
      <x:c r="C59" s="23" t="str">
        <x:v>🔄 In Progress</x:v>
      </x:c>
      <x:c r="D59" s="19" t="str">
        <x:v>Frontend prototypes exist; creator/member first-run onboarding and creator theme selection remain pending.</x:v>
      </x:c>
    </x:row>
    <x:row r="60" ht="24" hidden="0" customHeight="1">
      <x:c r="A60" s="16" t="s">
        <x:v>169</x:v>
      </x:c>
      <x:c r="B60" s="17" t="s">
        <x:v>170</x:v>
      </x:c>
      <x:c r="C60" s="24" t="str">
        <x:v>🔄 In Progress</x:v>
      </x:c>
      <x:c r="D60" s="19" t="str">
        <x:v>Registration now records append-only age attestation plus versioned Terms and Privacy acceptance in one transaction. Entry UI and identity/age verification remain pending.</x:v>
      </x:c>
    </x:row>
    <x:row r="61" ht="24" hidden="0" customHeight="1">
      <x:c r="A61" s="20" t="s">
        <x:v>171</x:v>
      </x:c>
      <x:c r="B61" s="21" t="s">
        <x:v>172</x:v>
      </x:c>
      <x:c r="C61" s="24" t="s">
        <x:v>6</x:v>
      </x:c>
      <x:c r="D61" s="22" t="str">
        <x:v>Slice 3 adds the email verification screen, persistent unverified banner, resend states, and Mailpit-backed browser coverage.</x:v>
      </x:c>
    </x:row>
    <x:row r="62" ht="24" hidden="0" customHeight="1">
      <x:c r="A62" s="16" t="s">
        <x:v>173</x:v>
      </x:c>
      <x:c r="B62" s="17" t="s">
        <x:v>174</x:v>
      </x:c>
      <x:c r="C62" s="24" t="s">
        <x:v>6</x:v>
      </x:c>
      <x:c r="D62" s="19" t="str">
        <x:v>Slice 3 adds forgot/reset password screens, neutral request messaging, token handling, session revocation, and browser coverage.</x:v>
      </x:c>
    </x:row>
    <x:row r="63" ht="27.75" customHeight="1">
      <x:c r="A63" s="15" t="s">
        <x:v>175</x:v>
      </x:c>
      <x:c r="B63" s="2"/>
      <x:c r="C63" s="2"/>
      <x:c r="D63" s="3"/>
    </x:row>
    <x:row r="64" ht="15.75" customHeight="1">
      <x:c r="A64" s="16" t="s">
        <x:v>176</x:v>
      </x:c>
      <x:c r="B64" s="17" t="s">
        <x:v>177</x:v>
      </x:c>
      <x:c r="C64" s="18" t="s">
        <x:v>6</x:v>
      </x:c>
      <x:c r="D64" s="19" t="s">
        <x:v>178</x:v>
      </x:c>
    </x:row>
    <x:row r="65" ht="15.75" customHeight="1">
      <x:c r="A65" s="20" t="s">
        <x:v>179</x:v>
      </x:c>
      <x:c r="B65" s="21" t="s">
        <x:v>180</x:v>
      </x:c>
      <x:c r="C65" s="23" t="s">
        <x:v>8</x:v>
      </x:c>
      <x:c r="D65" s="22" t="s">
        <x:v>181</x:v>
      </x:c>
    </x:row>
    <x:row r="66" ht="15.75" customHeight="1">
      <x:c r="A66" s="16" t="s">
        <x:v>182</x:v>
      </x:c>
      <x:c r="B66" s="17" t="s">
        <x:v>183</x:v>
      </x:c>
      <x:c r="C66" s="23" t="s">
        <x:v>8</x:v>
      </x:c>
      <x:c r="D66" s="19" t="s">
        <x:v>184</x:v>
      </x:c>
    </x:row>
    <x:row r="67" ht="15.75" customHeight="1">
      <x:c r="A67" s="20" t="s">
        <x:v>185</x:v>
      </x:c>
      <x:c r="B67" s="21" t="s">
        <x:v>186</x:v>
      </x:c>
      <x:c r="C67" s="18" t="s">
        <x:v>6</x:v>
      </x:c>
      <x:c r="D67" s="22" t="s">
        <x:v>187</x:v>
      </x:c>
    </x:row>
    <x:row r="68" ht="15.75" customHeight="1">
      <x:c r="A68" s="16" t="s">
        <x:v>188</x:v>
      </x:c>
      <x:c r="B68" s="17" t="s">
        <x:v>189</x:v>
      </x:c>
      <x:c r="C68" s="23" t="s">
        <x:v>8</x:v>
      </x:c>
      <x:c r="D68" s="19" t="s">
        <x:v>190</x:v>
      </x:c>
    </x:row>
    <x:row r="69" ht="15.75" customHeight="1">
      <x:c r="A69" s="20" t="s">
        <x:v>191</x:v>
      </x:c>
      <x:c r="B69" s="21" t="s">
        <x:v>192</x:v>
      </x:c>
      <x:c r="C69" s="23" t="str">
        <x:v>✅ Done</x:v>
      </x:c>
      <x:c r="D69" s="22" t="str">
        <x:v>Slice 3 replaces prototype login/signup behavior with validated live-API flows and adds forgot/reset/verify screens.</x:v>
      </x:c>
    </x:row>
    <x:row r="70" ht="15.75" customHeight="1">
      <x:c r="A70" s="16" t="s">
        <x:v>193</x:v>
      </x:c>
      <x:c r="B70" s="17" t="s">
        <x:v>194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195</x:v>
      </x:c>
      <x:c r="B71" s="21" t="s">
        <x:v>196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197</x:v>
      </x:c>
      <x:c r="B72" s="17" t="s">
        <x:v>198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199</x:v>
      </x:c>
      <x:c r="B73" s="21" t="s">
        <x:v>200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201</x:v>
      </x:c>
      <x:c r="B74" s="17" t="s">
        <x:v>202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203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204</x:v>
      </x:c>
      <x:c r="B76" s="17" t="s">
        <x:v>205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15.75" customHeight="1">
      <x:c r="A77" s="20" t="s">
        <x:v>206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">
        <x:v>7</x:v>
      </x:c>
      <x:c r="D77" s="19" t="inlineStr">
        <x:is>
          <x:t xml:space="preserve">Launch-critical and separate from age verification. Preference must be enforced by APIs and queries, not only CSS.</x:t>
        </x:is>
      </x:c>
    </x:row>
    <x:row r="78" ht="15.75" customHeight="1">
      <x:c r="A78" s="16" t="s">
        <x:v>207</x:v>
      </x:c>
      <x:c r="B78" s="17" t="s">
        <x:v>208</x:v>
      </x:c>
      <x:c r="C78" s="24" t="s">
        <x:v>7</x:v>
      </x:c>
      <x:c r="D78" s="19" t="s">
        <x:v>209</x:v>
      </x:c>
    </x:row>
    <x:row r="79" ht="15.75" customHeight="1">
      <x:c r="A79" s="20" t="s">
        <x:v>210</x:v>
      </x:c>
      <x:c r="B79" s="21" t="s">
        <x:v>211</x:v>
      </x:c>
      <x:c r="C79" s="24" t="s">
        <x:v>7</x:v>
      </x:c>
      <x:c r="D79" s="22" t="s">
        <x:v>212</x:v>
      </x:c>
    </x:row>
    <x:row r="80" ht="15.75" customHeight="1">
      <x:c r="A80" s="16" t="s">
        <x:v>213</x:v>
      </x:c>
      <x:c r="B80" s="17" t="s">
        <x:v>214</x:v>
      </x:c>
      <x:c r="C80" s="24" t="s">
        <x:v>7</x:v>
      </x:c>
      <x:c r="D80" s="19" t="s">
        <x:v>215</x:v>
      </x:c>
    </x:row>
    <x:row r="81" ht="15.75" customHeight="1">
      <x:c r="A81" s="20" t="s">
        <x:v>216</x:v>
      </x:c>
      <x:c r="B81" s="21" t="s">
        <x:v>217</x:v>
      </x:c>
      <x:c r="C81" s="18" t="s">
        <x:v>6</x:v>
      </x:c>
      <x:c r="D81" s="22" t="s">
        <x:v>218</x:v>
      </x:c>
    </x:row>
    <x:row r="82" ht="15.75" customHeight="1">
      <x:c r="A82" s="16" t="s">
        <x:v>219</x:v>
      </x:c>
      <x:c r="B82" s="17" t="s">
        <x:v>220</x:v>
      </x:c>
      <x:c r="C82" s="18" t="s">
        <x:v>6</x:v>
      </x:c>
      <x:c r="D82" s="19" t="s">
        <x:v>221</x:v>
      </x:c>
    </x:row>
    <x:row r="83" ht="15.75" customHeight="1">
      <x:c r="A83" s="20" t="s">
        <x:v>222</x:v>
      </x:c>
      <x:c r="B83" s="21" t="s">
        <x:v>223</x:v>
      </x:c>
      <x:c r="C83" s="18" t="s">
        <x:v>6</x:v>
      </x:c>
      <x:c r="D83" s="22" t="s">
        <x:v>224</x:v>
      </x:c>
    </x:row>
    <x:row r="84" ht="30.75" customHeight="1">
      <x:c r="A84" s="16" t="s">
        <x:v>225</x:v>
      </x:c>
      <x:c r="B84" s="17" t="s">
        <x:v>226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227</x:v>
      </x:c>
      <x:c r="B85" s="26" t="s">
        <x:v>228</x:v>
      </x:c>
      <x:c r="C85" s="18" t="s">
        <x:v>6</x:v>
      </x:c>
      <x:c r="D85" s="27" t="s">
        <x:v>229</x:v>
      </x:c>
    </x:row>
    <x:row r="86" ht="15.75" customHeight="1">
      <x:c r="A86" s="15" t="s">
        <x:v>230</x:v>
      </x:c>
      <x:c r="B86" s="2"/>
      <x:c r="C86" s="2"/>
      <x:c r="D86" s="3"/>
    </x:row>
    <x:row r="87" ht="15.75" customHeight="1">
      <x:c r="A87" s="16" t="s">
        <x:v>231</x:v>
      </x:c>
      <x:c r="B87" s="17" t="s">
        <x:v>232</x:v>
      </x:c>
      <x:c r="C87" s="24" t="s">
        <x:v>7</x:v>
      </x:c>
      <x:c r="D87" s="19" t="s">
        <x:v>233</x:v>
      </x:c>
    </x:row>
    <x:row r="88" ht="15.75" customHeight="1">
      <x:c r="A88" s="20" t="s">
        <x:v>234</x:v>
      </x:c>
      <x:c r="B88" s="21" t="s">
        <x:v>235</x:v>
      </x:c>
      <x:c r="C88" s="24" t="s">
        <x:v>7</x:v>
      </x:c>
      <x:c r="D88" s="22" t="s">
        <x:v>236</x:v>
      </x:c>
    </x:row>
    <x:row r="89" ht="15.75" customHeight="1">
      <x:c r="A89" s="16" t="s">
        <x:v>237</x:v>
      </x:c>
      <x:c r="B89" s="17" t="s">
        <x:v>238</x:v>
      </x:c>
      <x:c r="C89" s="24" t="s">
        <x:v>7</x:v>
      </x:c>
      <x:c r="D89" s="19" t="s">
        <x:v>239</x:v>
      </x:c>
    </x:row>
    <x:row r="90" ht="15.75" customHeight="1">
      <x:c r="A90" s="20" t="s">
        <x:v>240</x:v>
      </x:c>
      <x:c r="B90" s="21" t="s">
        <x:v>241</x:v>
      </x:c>
      <x:c r="C90" s="24" t="s">
        <x:v>7</x:v>
      </x:c>
      <x:c r="D90" s="22" t="s">
        <x:v>242</x:v>
      </x:c>
    </x:row>
    <x:row r="91" ht="15.75" customHeight="1">
      <x:c r="A91" s="16" t="s">
        <x:v>243</x:v>
      </x:c>
      <x:c r="B91" s="17" t="s">
        <x:v>244</x:v>
      </x:c>
      <x:c r="C91" s="24" t="s">
        <x:v>7</x:v>
      </x:c>
      <x:c r="D91" s="19" t="s">
        <x:v>245</x:v>
      </x:c>
    </x:row>
    <x:row r="92" ht="27.75" customHeight="1">
      <x:c r="A92" s="28" t="s">
        <x:v>246</x:v>
      </x:c>
      <x:c r="B92" s="29" t="s">
        <x:v>247</x:v>
      </x:c>
      <x:c r="C92" s="30" t="s">
        <x:v>7</x:v>
      </x:c>
      <x:c r="D92" s="31" t="s">
        <x:v>248</x:v>
      </x:c>
    </x:row>
    <x:row r="93" ht="15.75" customHeight="1">
      <x:c r="A93" s="15" t="s">
        <x:v>249</x:v>
      </x:c>
      <x:c r="B93" s="2"/>
      <x:c r="C93" s="2"/>
      <x:c r="D93" s="3"/>
    </x:row>
    <x:row r="94" ht="15.75" customHeight="1">
      <x:c r="A94" s="32" t="s">
        <x:v>250</x:v>
      </x:c>
      <x:c r="B94" s="33" t="s">
        <x:v>251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252</x:v>
      </x:c>
      <x:c r="B95" s="21" t="s">
        <x:v>253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254</x:v>
      </x:c>
      <x:c r="B96" s="17" t="s">
        <x:v>255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256</x:v>
      </x:c>
      <x:c r="B97" s="21" t="s">
        <x:v>257</x:v>
      </x:c>
      <x:c r="C97" s="24" t="s">
        <x:v>7</x:v>
      </x:c>
      <x:c r="D97" s="22" t="s">
        <x:v>258</x:v>
      </x:c>
    </x:row>
    <x:row r="98" ht="15.75" customHeight="1">
      <x:c r="A98" s="16" t="s">
        <x:v>259</x:v>
      </x:c>
      <x:c r="B98" s="17" t="s">
        <x:v>260</x:v>
      </x:c>
      <x:c r="C98" s="24" t="s">
        <x:v>7</x:v>
      </x:c>
      <x:c r="D98" s="19" t="s">
        <x:v>261</x:v>
      </x:c>
    </x:row>
    <x:row r="99" ht="15.75" customHeight="1">
      <x:c r="A99" s="20" t="s">
        <x:v>262</x:v>
      </x:c>
      <x:c r="B99" s="21" t="s">
        <x:v>263</x:v>
      </x:c>
      <x:c r="C99" s="24" t="s">
        <x:v>7</x:v>
      </x:c>
      <x:c r="D99" s="22" t="s">
        <x:v>264</x:v>
      </x:c>
    </x:row>
    <x:row r="100" ht="15.75" customHeight="1">
      <x:c r="A100" s="16" t="s">
        <x:v>265</x:v>
      </x:c>
      <x:c r="B100" s="17" t="s">
        <x:v>266</x:v>
      </x:c>
      <x:c r="C100" s="24" t="s">
        <x:v>7</x:v>
      </x:c>
      <x:c r="D100" s="19" t="s">
        <x:v>267</x:v>
      </x:c>
    </x:row>
    <x:row r="101" ht="15.75" customHeight="1">
      <x:c r="A101" s="20" t="s">
        <x:v>268</x:v>
      </x:c>
      <x:c r="B101" s="21" t="s">
        <x:v>269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270</x:v>
      </x:c>
      <x:c r="B102" s="17" t="s">
        <x:v>271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272</x:v>
      </x:c>
      <x:c r="B103" s="21" t="s">
        <x:v>273</x:v>
      </x:c>
      <x:c r="C103" s="24" t="s">
        <x:v>7</x:v>
      </x:c>
      <x:c r="D103" s="22" t="s">
        <x:v>274</x:v>
      </x:c>
    </x:row>
    <x:row r="104" ht="27.75" customHeight="1">
      <x:c r="A104" s="36" t="s">
        <x:v>275</x:v>
      </x:c>
      <x:c r="B104" s="37" t="s">
        <x:v>276</x:v>
      </x:c>
      <x:c r="C104" s="30" t="s">
        <x:v>7</x:v>
      </x:c>
      <x:c r="D104" s="38" t="s">
        <x:v>277</x:v>
      </x:c>
    </x:row>
    <x:row r="105" ht="15.75" customHeight="1">
      <x:c r="A105" s="15" t="s">
        <x:v>278</x:v>
      </x:c>
      <x:c r="B105" s="2"/>
      <x:c r="C105" s="2"/>
      <x:c r="D105" s="3"/>
    </x:row>
    <x:row r="106" ht="15.75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">
        <x:v>7</x:v>
      </x:c>
      <x:c r="D106" s="35" t="str">
        <x:v>Founder decision 2026-08-01: public /admin removed; backend ADMIN role retained; independent apps/admin shell exists, while operational workflows remain Phase 11.</x:v>
      </x:c>
    </x:row>
    <x:row r="107" ht="15.75" customHeight="1">
      <x:c r="A107" s="20" t="s">
        <x:v>279</x:v>
      </x:c>
      <x:c r="B107" s="21" t="s">
        <x:v>280</x:v>
      </x:c>
      <x:c r="C107" s="24" t="s">
        <x:v>7</x:v>
      </x:c>
      <x:c r="D107" s="22" t="s">
        <x:v>281</x:v>
      </x:c>
    </x:row>
    <x:row r="108" ht="15.75" customHeight="1">
      <x:c r="A108" s="16" t="s">
        <x:v>282</x:v>
      </x:c>
      <x:c r="B108" s="17" t="s">
        <x:v>283</x:v>
      </x:c>
      <x:c r="C108" s="24" t="s">
        <x:v>7</x:v>
      </x:c>
      <x:c r="D108" s="19" t="s">
        <x:v>284</x:v>
      </x:c>
    </x:row>
    <x:row r="109" ht="15.75" customHeight="1">
      <x:c r="A109" s="20" t="s">
        <x:v>285</x:v>
      </x:c>
      <x:c r="B109" s="21" t="s">
        <x:v>286</x:v>
      </x:c>
      <x:c r="C109" s="24" t="s">
        <x:v>7</x:v>
      </x:c>
      <x:c r="D109" s="22" t="s">
        <x:v>287</x:v>
      </x:c>
    </x:row>
    <x:row r="110" ht="15.75" customHeight="1">
      <x:c r="A110" s="16" t="s">
        <x:v>288</x:v>
      </x:c>
      <x:c r="B110" s="17" t="s">
        <x:v>289</x:v>
      </x:c>
      <x:c r="C110" s="24" t="s">
        <x:v>7</x:v>
      </x:c>
      <x:c r="D110" s="19" t="s">
        <x:v>290</x:v>
      </x:c>
    </x:row>
    <x:row r="111" ht="15.75" customHeight="1">
      <x:c r="A111" s="20" t="s">
        <x:v>291</x:v>
      </x:c>
      <x:c r="B111" s="21" t="s">
        <x:v>292</x:v>
      </x:c>
      <x:c r="C111" s="24" t="s">
        <x:v>7</x:v>
      </x:c>
      <x:c r="D111" s="22" t="s">
        <x:v>293</x:v>
      </x:c>
    </x:row>
    <x:row r="112" ht="15.75" customHeight="1">
      <x:c r="A112" s="16" t="s">
        <x:v>294</x:v>
      </x:c>
      <x:c r="B112" s="17" t="s">
        <x:v>295</x:v>
      </x:c>
      <x:c r="C112" s="24" t="s">
        <x:v>7</x:v>
      </x:c>
      <x:c r="D112" s="19" t="s">
        <x:v>296</x:v>
      </x:c>
    </x:row>
    <x:row r="113" ht="15.75" customHeight="1">
      <x:c r="A113" s="20" t="s">
        <x:v>297</x:v>
      </x:c>
      <x:c r="B113" s="21" t="s">
        <x:v>298</x:v>
      </x:c>
      <x:c r="C113" s="24" t="s">
        <x:v>7</x:v>
      </x:c>
      <x:c r="D113" s="22" t="s">
        <x:v>299</x:v>
      </x:c>
    </x:row>
    <x:row r="114" ht="15.75" customHeight="1">
      <x:c r="A114" s="16" t="s">
        <x:v>300</x:v>
      </x:c>
      <x:c r="B114" s="17" t="s">
        <x:v>301</x:v>
      </x:c>
      <x:c r="C114" s="24" t="s">
        <x:v>7</x:v>
      </x:c>
      <x:c r="D114" s="19" t="s">
        <x:v>302</x:v>
      </x:c>
    </x:row>
    <x:row r="115" ht="15.75" customHeight="1">
      <x:c r="A115" s="20" t="s">
        <x:v>303</x:v>
      </x:c>
      <x:c r="B115" s="21" t="s">
        <x:v>304</x:v>
      </x:c>
      <x:c r="C115" s="24" t="s">
        <x:v>7</x:v>
      </x:c>
      <x:c r="D115" s="22" t="s">
        <x:v>305</x:v>
      </x:c>
    </x:row>
    <x:row r="116" ht="15.75" customHeight="1">
      <x:c r="A116" s="16" t="s">
        <x:v>306</x:v>
      </x:c>
      <x:c r="B116" s="17" t="s">
        <x:v>307</x:v>
      </x:c>
      <x:c r="C116" s="24" t="s">
        <x:v>7</x:v>
      </x:c>
      <x:c r="D116" s="19" t="s">
        <x:v>308</x:v>
      </x:c>
    </x:row>
    <x:row r="117" ht="15.75" customHeight="1">
      <x:c r="A117" s="20" t="s">
        <x:v>309</x:v>
      </x:c>
      <x:c r="B117" s="21" t="s">
        <x:v>310</x:v>
      </x:c>
      <x:c r="C117" s="24" t="s">
        <x:v>7</x:v>
      </x:c>
      <x:c r="D117" s="22" t="s">
        <x:v>311</x:v>
      </x:c>
    </x:row>
    <x:row r="118" ht="27.75" customHeight="1">
      <x:c r="A118" s="36" t="s">
        <x:v>312</x:v>
      </x:c>
      <x:c r="B118" s="37" t="s">
        <x:v>313</x:v>
      </x:c>
      <x:c r="C118" s="30" t="s">
        <x:v>7</x:v>
      </x:c>
      <x:c r="D118" s="38" t="s">
        <x:v>314</x:v>
      </x:c>
    </x:row>
    <x:row r="119" ht="15.75" customHeight="1">
      <x:c r="A119" s="15" t="s">
        <x:v>315</x:v>
      </x:c>
      <x:c r="B119" s="2"/>
      <x:c r="C119" s="2"/>
      <x:c r="D119" s="3"/>
    </x:row>
    <x:row r="120" ht="15.75" customHeight="1">
      <x:c r="A120" s="32" t="s">
        <x:v>316</x:v>
      </x:c>
      <x:c r="B120" s="33" t="s">
        <x:v>317</x:v>
      </x:c>
      <x:c r="C120" s="39" t="s">
        <x:v>7</x:v>
      </x:c>
      <x:c r="D120" s="35" t="s">
        <x:v>38</x:v>
      </x:c>
    </x:row>
    <x:row r="121" ht="15.75" customHeight="1">
      <x:c r="A121" s="20" t="s">
        <x:v>318</x:v>
      </x:c>
      <x:c r="B121" s="21" t="s">
        <x:v>319</x:v>
      </x:c>
      <x:c r="C121" s="24" t="s">
        <x:v>7</x:v>
      </x:c>
      <x:c r="D121" s="22" t="s">
        <x:v>320</x:v>
      </x:c>
    </x:row>
    <x:row r="122" ht="15.75" customHeight="1">
      <x:c r="A122" s="16" t="s">
        <x:v>321</x:v>
      </x:c>
      <x:c r="B122" s="17" t="s">
        <x:v>322</x:v>
      </x:c>
      <x:c r="C122" s="24" t="s">
        <x:v>7</x:v>
      </x:c>
      <x:c r="D122" s="19" t="s">
        <x:v>323</x:v>
      </x:c>
    </x:row>
    <x:row r="123" ht="15.75" customHeight="1">
      <x:c r="A123" s="20" t="s">
        <x:v>324</x:v>
      </x:c>
      <x:c r="B123" s="21" t="s">
        <x:v>325</x:v>
      </x:c>
      <x:c r="C123" s="24" t="s">
        <x:v>7</x:v>
      </x:c>
      <x:c r="D123" s="22" t="s">
        <x:v>326</x:v>
      </x:c>
    </x:row>
    <x:row r="124" ht="27.75" customHeight="1">
      <x:c r="A124" s="36" t="s">
        <x:v>327</x:v>
      </x:c>
      <x:c r="B124" s="37" t="s">
        <x:v>328</x:v>
      </x:c>
      <x:c r="C124" s="30" t="s">
        <x:v>7</x:v>
      </x:c>
      <x:c r="D124" s="22" t="inlineStr">
        <x:is>
          <x:t xml:space="preserve">Provider undecided. Evaluate Amazon SES first, confirm adult-business support, and use .example addresses until real mailboxes exist.</x:t>
        </x:is>
      </x:c>
    </x:row>
    <x:row r="125" ht="15.75" customHeight="1">
      <x:c r="A125" s="15" t="s">
        <x:v>329</x:v>
      </x:c>
      <x:c r="B125" s="2"/>
      <x:c r="C125" s="2"/>
      <x:c r="D125" s="3"/>
    </x:row>
    <x:row r="126" ht="15.75" customHeight="1">
      <x:c r="A126" s="32" t="s">
        <x:v>330</x:v>
      </x:c>
      <x:c r="B126" s="33" t="s">
        <x:v>331</x:v>
      </x:c>
      <x:c r="C126" s="39" t="s">
        <x:v>7</x:v>
      </x:c>
      <x:c r="D126" s="35" t="s">
        <x:v>332</x:v>
      </x:c>
    </x:row>
    <x:row r="127" ht="15.75" customHeight="1">
      <x:c r="A127" s="20" t="s">
        <x:v>333</x:v>
      </x:c>
      <x:c r="B127" s="21" t="s">
        <x:v>334</x:v>
      </x:c>
      <x:c r="C127" s="24" t="s">
        <x:v>7</x:v>
      </x:c>
      <x:c r="D127" s="22" t="s">
        <x:v>335</x:v>
      </x:c>
    </x:row>
    <x:row r="128" ht="15.75" customHeight="1">
      <x:c r="A128" s="16" t="s">
        <x:v>336</x:v>
      </x:c>
      <x:c r="B128" s="17" t="s">
        <x:v>337</x:v>
      </x:c>
      <x:c r="C128" s="24" t="s">
        <x:v>7</x:v>
      </x:c>
      <x:c r="D128" s="19" t="s">
        <x:v>338</x:v>
      </x:c>
    </x:row>
    <x:row r="129" ht="15.75" customHeight="1">
      <x:c r="A129" s="20" t="s">
        <x:v>339</x:v>
      </x:c>
      <x:c r="B129" s="21" t="s">
        <x:v>340</x:v>
      </x:c>
      <x:c r="C129" s="24" t="s">
        <x:v>7</x:v>
      </x:c>
      <x:c r="D129" s="22" t="s">
        <x:v>341</x:v>
      </x:c>
    </x:row>
    <x:row r="130" ht="15.75" customHeight="1">
      <x:c r="A130" s="16" t="s">
        <x:v>342</x:v>
      </x:c>
      <x:c r="B130" s="17" t="s">
        <x:v>343</x:v>
      </x:c>
      <x:c r="C130" s="24" t="s">
        <x:v>7</x:v>
      </x:c>
      <x:c r="D130" s="19" t="s">
        <x:v>344</x:v>
      </x:c>
    </x:row>
    <x:row r="131" ht="15" customHeight="1">
      <x:c r="A131" s="20" t="s">
        <x:v>345</x:v>
      </x:c>
      <x:c r="B131" s="21" t="s">
        <x:v>346</x:v>
      </x:c>
      <x:c r="C131" s="24" t="s">
        <x:v>7</x:v>
      </x:c>
      <x:c r="D131" s="22" t="s">
        <x:v>347</x:v>
      </x:c>
    </x:row>
    <x:row r="132" ht="15.75" customHeight="1">
      <x:c r="A132" s="40" t="s">
        <x:v>348</x:v>
      </x:c>
      <x:c r="B132" s="41" t="s">
        <x:v>349</x:v>
      </x:c>
      <x:c r="C132" s="42" t="s">
        <x:v>8</x:v>
      </x:c>
      <x:c r="D132" s="43" t="s">
        <x:v>344</x:v>
      </x:c>
    </x:row>
    <x:row r="133" ht="15.75" customHeight="1">
      <x:c r="A133" s="15" t="s">
        <x:v>350</x:v>
      </x:c>
      <x:c r="B133" s="2"/>
      <x:c r="C133" s="2"/>
      <x:c r="D133" s="3"/>
    </x:row>
    <x:row r="134" ht="15.75" customHeight="1">
      <x:c r="A134" s="32" t="s">
        <x:v>351</x:v>
      </x:c>
      <x:c r="B134" s="33" t="s">
        <x:v>352</x:v>
      </x:c>
      <x:c r="C134" s="44" t="s">
        <x:v>8</x:v>
      </x:c>
      <x:c r="D134" s="35" t="s">
        <x:v>353</x:v>
      </x:c>
    </x:row>
    <x:row r="135" ht="15.75" customHeight="1">
      <x:c r="A135" s="20" t="s">
        <x:v>354</x:v>
      </x:c>
      <x:c r="B135" s="21" t="s">
        <x:v>355</x:v>
      </x:c>
      <x:c r="C135" s="24" t="s">
        <x:v>7</x:v>
      </x:c>
      <x:c r="D135" s="22" t="s">
        <x:v>356</x:v>
      </x:c>
    </x:row>
    <x:row r="136" ht="15.75" customHeight="1">
      <x:c r="A136" s="16" t="s">
        <x:v>357</x:v>
      </x:c>
      <x:c r="B136" s="17" t="s">
        <x:v>358</x:v>
      </x:c>
      <x:c r="C136" s="24" t="s">
        <x:v>7</x:v>
      </x:c>
      <x:c r="D136" s="19" t="s">
        <x:v>359</x:v>
      </x:c>
    </x:row>
    <x:row r="137" ht="15.75" customHeight="1">
      <x:c r="A137" s="20" t="s">
        <x:v>360</x:v>
      </x:c>
      <x:c r="B137" s="21" t="s">
        <x:v>361</x:v>
      </x:c>
      <x:c r="C137" s="24" t="s">
        <x:v>7</x:v>
      </x:c>
      <x:c r="D137" s="22" t="s">
        <x:v>344</x:v>
      </x:c>
    </x:row>
    <x:row r="138" ht="15.75" customHeight="1">
      <x:c r="A138" s="16" t="s">
        <x:v>362</x:v>
      </x:c>
      <x:c r="B138" s="17" t="s">
        <x:v>363</x:v>
      </x:c>
      <x:c r="C138" s="24" t="s">
        <x:v>7</x:v>
      </x:c>
      <x:c r="D138" s="19" t="s">
        <x:v>364</x:v>
      </x:c>
    </x:row>
    <x:row r="139" ht="15.75" customHeight="1">
      <x:c r="A139" s="20" t="s">
        <x:v>365</x:v>
      </x:c>
      <x:c r="B139" s="21" t="s">
        <x:v>366</x:v>
      </x:c>
      <x:c r="C139" s="24" t="s">
        <x:v>7</x:v>
      </x:c>
      <x:c r="D139" s="22" t="s">
        <x:v>367</x:v>
      </x:c>
    </x:row>
    <x:row r="140" ht="15.75" customHeight="1">
      <x:c r="A140" s="16" t="s">
        <x:v>368</x:v>
      </x:c>
      <x:c r="B140" s="17" t="s">
        <x:v>369</x:v>
      </x:c>
      <x:c r="C140" s="24" t="s">
        <x:v>7</x:v>
      </x:c>
      <x:c r="D140" s="19" t="s">
        <x:v>370</x:v>
      </x:c>
    </x:row>
    <x:row r="141" ht="15.75" customHeight="1">
      <x:c r="A141" s="20" t="s">
        <x:v>371</x:v>
      </x:c>
      <x:c r="B141" s="21" t="s">
        <x:v>372</x:v>
      </x:c>
      <x:c r="C141" s="24" t="s">
        <x:v>7</x:v>
      </x:c>
      <x:c r="D141" s="22" t="s">
        <x:v>373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31.5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now persists through UserPreference, authenticated GET/PATCH endpoints, and a protected Settings UI with deliberate opt-in, reload persistence, immediate opt-out, and automated coverage. Onboarding and server-side feed/search/Store/Connect filtering remain pending; this does not replace age checks.</x:v>
      </x:c>
    </x:row>
    <x:row r="153" ht="31.5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31.5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31.5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31.5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24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The apps/admin build shell now exists. Operational authentication, MFA/SSO, restricted hosting, API integration, permissions, and audit tooling remain pending.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The TypeScript API/contracts/database foundation and the React frontend now include core auth, email verification/password reset, role guards, and DB-backed/browser tests. Remaining frontend migration is incremental.</x:v>
      </x:c>
    </x:row>
    <x:row r="162" ht="31.5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31.5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inlineStr">
        <x:is>
          <x:t xml:space="preserve">A few initial creators are available; member volume is not yet defined.</x:t>
        </x:is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374</x:v>
      </x:c>
      <x:c r="B1" s="14" t="s">
        <x:v>375</x:v>
      </x:c>
      <x:c r="C1" s="14" t="s">
        <x:v>376</x:v>
      </x:c>
      <x:c r="D1" s="14" t="s">
        <x:v>377</x:v>
      </x:c>
      <x:c r="E1" s="14" t="s">
        <x:v>22</x:v>
      </x:c>
      <x:c r="F1" s="14" t="s">
        <x:v>378</x:v>
      </x:c>
    </x:row>
    <x:row r="2">
      <x:c r="A2" s="20" t="s">
        <x:v>379</x:v>
      </x:c>
      <x:c r="B2" s="21" t="s">
        <x:v>380</x:v>
      </x:c>
      <x:c r="C2" s="21" t="s">
        <x:v>381</x:v>
      </x:c>
      <x:c r="D2" s="21" t="s">
        <x:v>382</x:v>
      </x:c>
      <x:c r="E2" s="24" t="s">
        <x:v>7</x:v>
      </x:c>
      <x:c r="F2" s="21" t="s">
        <x:v>383</x:v>
      </x:c>
    </x:row>
    <x:row r="3">
      <x:c r="A3" s="16" t="s">
        <x:v>384</x:v>
      </x:c>
      <x:c r="B3" s="17" t="s">
        <x:v>380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382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385</x:v>
      </x:c>
      <x:c r="B4" s="21" t="s">
        <x:v>386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387</x:v>
      </x:c>
      <x:c r="B5" s="17" t="s">
        <x:v>386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388</x:v>
      </x:c>
      <x:c r="B6" s="21" t="s">
        <x:v>389</x:v>
      </x:c>
      <x:c r="C6" s="21" t="s">
        <x:v>390</x:v>
      </x:c>
      <x:c r="D6" s="21" t="s">
        <x:v>382</x:v>
      </x:c>
      <x:c r="E6" s="24" t="s">
        <x:v>7</x:v>
      </x:c>
      <x:c r="F6" s="21" t="s">
        <x:v>383</x:v>
      </x:c>
    </x:row>
    <x:row r="7">
      <x:c r="A7" s="16" t="s">
        <x:v>391</x:v>
      </x:c>
      <x:c r="B7" s="17" t="s">
        <x:v>392</x:v>
      </x:c>
      <x:c r="C7" s="17" t="s">
        <x:v>393</x:v>
      </x:c>
      <x:c r="D7" s="17" t="s">
        <x:v>394</x:v>
      </x:c>
      <x:c r="E7" s="24" t="s">
        <x:v>7</x:v>
      </x:c>
      <x:c r="F7" s="17" t="s">
        <x:v>383</x:v>
      </x:c>
    </x:row>
    <x:row r="8">
      <x:c r="A8" s="20" t="s">
        <x:v>395</x:v>
      </x:c>
      <x:c r="B8" s="21" t="s">
        <x:v>396</x:v>
      </x:c>
      <x:c r="C8" s="21" t="s">
        <x:v>397</x:v>
      </x:c>
      <x:c r="D8" s="21" t="s">
        <x:v>394</x:v>
      </x:c>
      <x:c r="E8" s="24" t="s">
        <x:v>7</x:v>
      </x:c>
      <x:c r="F8" s="21" t="s">
        <x:v>398</x:v>
      </x:c>
    </x:row>
    <x:row r="9">
      <x:c r="A9" s="16" t="s">
        <x:v>399</x:v>
      </x:c>
      <x:c r="B9" s="17" t="s">
        <x:v>380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400</x:v>
      </x:c>
      <x:c r="B10" s="21" t="s">
        <x:v>386</x:v>
      </x:c>
      <x:c r="C10" s="21" t="s">
        <x:v>401</x:v>
      </x:c>
      <x:c r="D10" s="21" t="s">
        <x:v>382</x:v>
      </x:c>
      <x:c r="E10" s="24" t="s">
        <x:v>7</x:v>
      </x:c>
      <x:c r="F10" s="21" t="s">
        <x:v>402</x:v>
      </x:c>
    </x:row>
    <x:row r="11">
      <x:c r="A11" s="16" t="s">
        <x:v>403</x:v>
      </x:c>
      <x:c r="B11" s="17" t="s">
        <x:v>386</x:v>
      </x:c>
      <x:c r="C11" s="17" t="s">
        <x:v>404</x:v>
      </x:c>
      <x:c r="D11" s="17" t="s">
        <x:v>382</x:v>
      </x:c>
      <x:c r="E11" s="24" t="s">
        <x:v>7</x:v>
      </x:c>
      <x:c r="F11" s="17" t="s">
        <x:v>405</x:v>
      </x:c>
    </x:row>
    <x:row r="12">
      <x:c r="A12" s="20" t="s">
        <x:v>406</x:v>
      </x:c>
      <x:c r="B12" s="21" t="s">
        <x:v>407</x:v>
      </x:c>
      <x:c r="C12" s="21" t="s">
        <x:v>408</x:v>
      </x:c>
      <x:c r="D12" s="21" t="s">
        <x:v>382</x:v>
      </x:c>
      <x:c r="E12" s="24" t="s">
        <x:v>7</x:v>
      </x:c>
      <x:c r="F12" s="21" t="s">
        <x:v>409</x:v>
      </x:c>
    </x:row>
    <x:row r="13">
      <x:c r="A13" s="16" t="s">
        <x:v>410</x:v>
      </x:c>
      <x:c r="B13" s="17" t="s">
        <x:v>411</x:v>
      </x:c>
      <x:c r="C13" s="17" t="s">
        <x:v>412</x:v>
      </x:c>
      <x:c r="D13" s="17" t="s">
        <x:v>413</x:v>
      </x:c>
      <x:c r="E13" s="24" t="s">
        <x:v>7</x:v>
      </x:c>
      <x:c r="F13" s="17" t="s">
        <x:v>414</x:v>
      </x:c>
    </x:row>
    <x:row r="14">
      <x:c r="A14" s="20" t="s">
        <x:v>415</x:v>
      </x:c>
      <x:c r="B14" s="21" t="s">
        <x:v>416</x:v>
      </x:c>
      <x:c r="C14" s="21" t="s">
        <x:v>417</x:v>
      </x:c>
      <x:c r="D14" s="21" t="s">
        <x:v>394</x:v>
      </x:c>
      <x:c r="E14" s="24" t="s">
        <x:v>7</x:v>
      </x:c>
      <x:c r="F14" s="21" t="s">
        <x:v>418</x:v>
      </x:c>
    </x:row>
    <x:row r="15">
      <x:c r="A15" s="45" t="s">
        <x:v>419</x:v>
      </x:c>
      <x:c r="B15" s="46" t="s">
        <x:v>420</x:v>
      </x:c>
      <x:c r="C15" s="47" t="s">
        <x:v>421</x:v>
      </x:c>
      <x:c r="D15" s="46" t="s">
        <x:v>382</x:v>
      </x:c>
      <x:c r="E15" s="48" t="s">
        <x:v>7</x:v>
      </x:c>
      <x:c r="F15" s="47" t="s">
        <x:v>422</x:v>
      </x:c>
    </x:row>
    <x:row r="16">
      <x:c r="A16" s="49" t="s">
        <x:v>423</x:v>
      </x:c>
      <x:c r="B16" s="50" t="s">
        <x:v>424</x:v>
      </x:c>
      <x:c r="C16" s="51" t="s">
        <x:v>425</x:v>
      </x:c>
      <x:c r="D16" s="50" t="s">
        <x:v>394</x:v>
      </x:c>
      <x:c r="E16" s="48" t="s">
        <x:v>7</x:v>
      </x:c>
      <x:c r="F16" s="51" t="s">
        <x:v>426</x:v>
      </x:c>
    </x:row>
    <x:row r="17">
      <x:c r="A17" s="52" t="s">
        <x:v>427</x:v>
      </x:c>
      <x:c r="B17" s="53" t="s">
        <x:v>396</x:v>
      </x:c>
      <x:c r="C17" s="54" t="s">
        <x:v>428</x:v>
      </x:c>
      <x:c r="D17" s="53" t="s">
        <x:v>394</x:v>
      </x:c>
      <x:c r="E17" s="48" t="s">
        <x:v>7</x:v>
      </x:c>
      <x:c r="F17" s="54" t="s">
        <x:v>429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430</x:v>
      </x:c>
      <x:c r="B1" s="3"/>
    </x:row>
    <x:row r="3">
      <x:c r="A3" s="14" t="s">
        <x:v>431</x:v>
      </x:c>
      <x:c r="B3" s="14" t="s">
        <x:v>432</x:v>
      </x:c>
    </x:row>
    <x:row r="4">
      <x:c r="A4" s="55" t="s">
        <x:v>433</x:v>
      </x:c>
      <x:c r="B4" s="58" t="str">
        <x:v>This workbook is reconciled with the repository and founder decisions through July 16, 2026.</x:v>
      </x:c>
    </x:row>
    <x:row r="5">
      <x:c r="A5" s="57" t="s">
        <x:v>434</x:v>
      </x:c>
      <x:c r="B5" s="58" t="s">
        <x:v>435</x:v>
      </x:c>
    </x:row>
    <x:row r="6">
      <x:c r="A6" s="55" t="s">
        <x:v>436</x:v>
      </x:c>
      <x:c r="B6" s="56" t="s">
        <x:v>437</x:v>
      </x:c>
    </x:row>
    <x:row r="7">
      <x:c r="A7" s="57" t="s">
        <x:v>438</x:v>
      </x:c>
      <x:c r="B7" s="58" t="s">
        <x:v>439</x:v>
      </x:c>
    </x:row>
    <x:row r="8">
      <x:c r="A8" s="55" t="s">
        <x:v>440</x:v>
      </x:c>
      <x:c r="B8" s="56" t="s">
        <x:v>441</x:v>
      </x:c>
    </x:row>
    <x:row r="9">
      <x:c r="A9" s="57" t="s">
        <x:v>442</x:v>
      </x:c>
      <x:c r="B9" s="58" t="s">
        <x:v>443</x:v>
      </x:c>
    </x:row>
    <x:row r="10">
      <x:c r="A10" s="55" t="s">
        <x:v>444</x:v>
      </x:c>
      <x:c r="B10" s="56" t="s">
        <x:v>445</x:v>
      </x:c>
    </x:row>
    <x:row r="11">
      <x:c r="A11" s="57" t="s">
        <x:v>446</x:v>
      </x:c>
      <x:c r="B11" s="58" t="s">
        <x:v>447</x:v>
      </x:c>
    </x:row>
    <x:row r="12">
      <x:c r="A12" s="55" t="s">
        <x:v>448</x:v>
      </x:c>
      <x:c r="B12" s="56" t="s">
        <x:v>449</x:v>
      </x:c>
    </x:row>
    <x:row r="13">
      <x:c r="A13" s="57" t="s">
        <x:v>450</x:v>
      </x:c>
      <x:c r="B13" s="58" t="s">
        <x:v>451</x:v>
      </x:c>
    </x:row>
    <x:row r="14">
      <x:c r="A14" s="55" t="s">
        <x:v>452</x:v>
      </x:c>
      <x:c r="B14" s="56" t="s">
        <x:v>453</x:v>
      </x:c>
    </x:row>
    <x:row r="15">
      <x:c r="A15" s="57" t="s">
        <x:v>454</x:v>
      </x:c>
      <x:c r="B15" s="58" t="s">
        <x:v>455</x:v>
      </x:c>
    </x:row>
    <x:row r="17">
      <x:c r="A17" s="5" t="s">
        <x:v>456</x:v>
      </x:c>
    </x:row>
    <x:row r="18">
      <x:c r="A18" s="59" t="s">
        <x:v>457</x:v>
      </x:c>
      <x:c r="B18" s="60" t="s">
        <x:v>458</x:v>
      </x:c>
    </x:row>
    <x:row r="19">
      <x:c r="A19" s="59" t="s">
        <x:v>457</x:v>
      </x:c>
      <x:c r="B19" s="60" t="s">
        <x:v>459</x:v>
      </x:c>
    </x:row>
    <x:row r="20">
      <x:c r="A20" s="59" t="s">
        <x:v>457</x:v>
      </x:c>
      <x:c r="B20" s="60" t="s">
        <x:v>460</x:v>
      </x:c>
    </x:row>
    <x:row r="21" ht="15.75" customHeight="1">
      <x:c r="A21" s="59" t="s">
        <x:v>457</x:v>
      </x:c>
      <x:c r="B21" s="60" t="s">
        <x:v>461</x:v>
      </x:c>
    </x:row>
    <x:row r="22" ht="15.75" customHeight="1">
      <x:c r="A22" s="59" t="s">
        <x:v>457</x:v>
      </x:c>
      <x:c r="B22" s="60" t="s">
        <x:v>462</x:v>
      </x:c>
    </x:row>
    <x:row r="23" ht="15.75" customHeight="1">
      <x:c r="A23" s="59" t="s">
        <x:v>457</x:v>
      </x:c>
      <x:c r="B23" s="60" t="s">
        <x:v>463</x:v>
      </x:c>
    </x:row>
    <x:row r="24" ht="15.75" customHeight="1">
      <x:c r="A24" s="59" t="s">
        <x:v>457</x:v>
      </x:c>
      <x:c r="B24" s="60" t="s">
        <x:v>464</x:v>
      </x:c>
    </x:row>
    <x:row r="25" ht="15.75" customHeight="1">
      <x:c r="A25" s="59" t="s">
        <x:v>457</x:v>
      </x:c>
      <x:c r="B25" s="60" t="s">
        <x:v>465</x:v>
      </x:c>
    </x:row>
    <x:row r="26" ht="15.75" customHeight="1">
      <x:c r="A26" s="59" t="s">
        <x:v>457</x:v>
      </x:c>
      <x:c r="B26" s="60" t="s">
        <x:v>466</x:v>
      </x:c>
    </x:row>
    <x:row r="27" ht="15.75" customHeight="1">
      <x:c r="A27" s="59" t="s">
        <x:v>457</x:v>
      </x:c>
      <x:c r="B27" s="60" t="s">
        <x:v>467</x:v>
      </x:c>
    </x:row>
    <x:row r="28" ht="15.75" customHeight="1">
      <x:c r="A28" s="59" t="s">
        <x:v>457</x:v>
      </x:c>
      <x:c r="B28" s="60" t="s">
        <x:v>468</x:v>
      </x:c>
    </x:row>
    <x:row r="29" ht="15.75" customHeight="1">
      <x:c r="A29" s="59" t="s">
        <x:v>457</x:v>
      </x:c>
      <x:c r="B29" s="60" t="s">
        <x:v>469</x:v>
      </x:c>
    </x:row>
    <x:row r="30" ht="15.75" customHeight="1">
      <x:c r="A30" s="59" t="s">
        <x:v>457</x:v>
      </x:c>
      <x:c r="B30" s="60" t="s">
        <x:v>470</x:v>
      </x:c>
    </x:row>
    <x:row r="31" ht="30" customHeight="1">
      <x:c r="A31" s="59" t="s">
        <x:v>457</x:v>
      </x:c>
      <x:c r="B31" s="60" t="str">
        <x:v>Admin operations: separately deployed private app; no public /admin. Backend ADMIN permissions remain API-enforced. 13 subtasks defined.</x:v>
      </x:c>
    </x:row>
    <x:row r="32" ht="15.75" customHeight="1">
      <x:c r="A32" s="59" t="s">
        <x:v>457</x:v>
      </x:c>
      <x:c r="B32" s="60" t="s">
        <x:v>471</x:v>
      </x:c>
    </x:row>
    <x:row r="33" ht="15.75" customHeight="1">
      <x:c r="A33" s="59" t="s">
        <x:v>457</x:v>
      </x:c>
      <x:c r="B33" s="60" t="s">
        <x:v>472</x:v>
      </x:c>
    </x:row>
    <x:row r="34" ht="15.75" customHeight="1">
      <x:c r="A34" s="59" t="s">
        <x:v>457</x:v>
      </x:c>
      <x:c r="B34" s="60" t="s">
        <x:v>473</x:v>
      </x:c>
    </x:row>
    <x:row r="35" ht="15.75" customHeight="1">
      <x:c r="A35" s="59" t="s">
        <x:v>457</x:v>
      </x:c>
      <x:c r="B35" s="60" t="s">
        <x:v>474</x:v>
      </x:c>
    </x:row>
    <x:row r="36" ht="15.75" customHeight="1">
      <x:c r="A36" s="59" t="s">
        <x:v>457</x:v>
      </x:c>
      <x:c r="B36" s="60" t="s">
        <x:v>475</x:v>
      </x:c>
    </x:row>
    <x:row r="37" ht="15.75" customHeight="1">
      <x:c r="A37" s="59" t="s">
        <x:v>457</x:v>
      </x:c>
      <x:c r="B37" s="60" t="s">
        <x:v>476</x:v>
      </x:c>
    </x:row>
    <x:row r="38" ht="15.75" customHeight="1">
      <x:c r="A38" s="59" t="s">
        <x:v>457</x:v>
      </x:c>
      <x:c r="B38" s="60" t="s">
        <x:v>477</x:v>
      </x:c>
    </x:row>
    <x:row r="39" ht="15.75" customHeight="1">
      <x:c r="A39" s="59" t="s">
        <x:v>457</x:v>
      </x:c>
      <x:c r="B39" s="60" t="s">
        <x:v>478</x:v>
      </x:c>
    </x:row>
    <x:row r="40" ht="15.75" customHeight="1">
      <x:c r="A40" s="59" t="s">
        <x:v>457</x:v>
      </x:c>
      <x:c r="B40" s="60" t="s">
        <x:v>479</x:v>
      </x:c>
    </x:row>
    <x:row r="41" ht="15.75" customHeight="1">
      <x:c r="A41" s="59" t="s">
        <x:v>457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The architecture plan source of truth is PLAN.md. Phase 3 is split into four slices: Slices 1–3 are published and CI-verified; Slice 4 is in progress.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Founder reviews the Slice 4 explicit-content preference flow; Engineering continues with profile, email/reverification, password, and active-session Settings.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complete; decide AWS/Sentry/Redis direction and finish staging, backups/restore, monitoring, queueing, and idempotency.</x:v>
      </x:c>
    </x:row>
    <x:row r="47" ht="15" hidden="0" customHeight="1">
      <x:c r="A47" s="72" t="inlineStr">
        <x:is>
          <x:t xml:space="preserve">Immediate 3</x:t>
        </x:is>
      </x:c>
      <x:c r="B47" s="73" t="str">
        <x:v>Begin privacy-focused LLC attorney/CPA research, counsel-reviewed retention rules, and merchant compliance preparation in parallel.</x:v>
      </x:c>
    </x:row>
    <x:row r="48" ht="15" hidden="0" customHeight="1">
      <x:c r="A48" s="72" t="inlineStr">
        <x:is>
          <x:t xml:space="preserve">Immediate 4</x:t>
        </x:is>
      </x:c>
      <x:c r="B48" s="73" t="str">
        <x:v>Obtain CCBill/Epoch requirements, fee quotes, and written cascade guidance; continue identity-provider and launch-country research.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Slice 3 was published to dev in commit 1089ae0 and GitHub Actions passed on August 1, 2026. Slice 4's first preference vertical cut is locally verified and captured in this local commit; it has not been pushed.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and frontend auth integration are implemented locally. Settings,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0" hidden="0" customHeight="1">
      <x:c r="A65" t="str">
        <x:v>•</x:v>
      </x:c>
      <x:c r="B65" s="82" t="str">
        <x:v>Phase 3 Slice 4 is in progress: the default-hidden explicit-content preference persists through the API and protected Settings page; broader account Settings and future server-side content filtering remain.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30" customHeight="1">
      <x:c r="A79" s="65" t="inlineStr">
        <x:is>
          <x:t xml:space="preserve">•</x:t>
        </x:is>
      </x:c>
      <x:c r="B79" s="66" t="str">
        <x:v>Founder decision (2026-08-01): no public /admin route. An independent apps/admin build shell now exists; backend ADMIN authorization remains, while operational access controls and workflows are Phase 11.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480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481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482</x:v>
      </x:c>
      <x:c r="B3" s="68" t="s">
        <x:v>375</x:v>
      </x:c>
      <x:c r="C3" s="68" t="s">
        <x:v>483</x:v>
      </x:c>
      <x:c r="D3" s="68" t="s">
        <x:v>484</x:v>
      </x:c>
      <x:c r="E3" s="68" t="s">
        <x:v>485</x:v>
      </x:c>
      <x:c r="F3" s="68" t="s">
        <x:v>486</x:v>
      </x:c>
      <x:c r="G3" s="68" t="s">
        <x:v>22</x:v>
      </x:c>
      <x:c r="H3" s="68" t="s">
        <x:v>23</x:v>
      </x:c>
    </x:row>
    <x:row r="4" ht="25.5" customHeight="1">
      <x:c r="A4" s="15" t="s">
        <x:v>487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488</x:v>
      </x:c>
      <x:c r="B5" s="17" t="s">
        <x:v>489</x:v>
      </x:c>
      <x:c r="C5" s="17" t="s">
        <x:v>490</x:v>
      </x:c>
      <x:c r="D5" s="17">
        <x:v>500.0</x:v>
      </x:c>
      <x:c r="E5" s="17"/>
      <x:c r="F5" s="17" t="s">
        <x:v>491</x:v>
      </x:c>
      <x:c r="G5" s="24" t="s">
        <x:v>492</x:v>
      </x:c>
      <x:c r="H5" s="17" t="s">
        <x:v>493</x:v>
      </x:c>
    </x:row>
    <x:row r="6">
      <x:c r="A6" s="20" t="s">
        <x:v>494</x:v>
      </x:c>
      <x:c r="B6" s="21" t="s">
        <x:v>489</x:v>
      </x:c>
      <x:c r="C6" s="21" t="s">
        <x:v>490</x:v>
      </x:c>
      <x:c r="D6" s="21">
        <x:v>500.0</x:v>
      </x:c>
      <x:c r="E6" s="21"/>
      <x:c r="F6" s="21" t="s">
        <x:v>491</x:v>
      </x:c>
      <x:c r="G6" s="24" t="s">
        <x:v>492</x:v>
      </x:c>
      <x:c r="H6" s="21" t="s">
        <x:v>495</x:v>
      </x:c>
    </x:row>
    <x:row r="7">
      <x:c r="A7" s="16" t="s">
        <x:v>496</x:v>
      </x:c>
      <x:c r="B7" s="17" t="s">
        <x:v>489</x:v>
      </x:c>
      <x:c r="C7" s="17" t="s">
        <x:v>490</x:v>
      </x:c>
      <x:c r="D7" s="17">
        <x:v>0.0</x:v>
      </x:c>
      <x:c r="E7" s="17"/>
      <x:c r="F7" s="17" t="s">
        <x:v>491</x:v>
      </x:c>
      <x:c r="G7" s="24" t="s">
        <x:v>492</x:v>
      </x:c>
      <x:c r="H7" s="17" t="s">
        <x:v>497</x:v>
      </x:c>
    </x:row>
    <x:row r="8">
      <x:c r="A8" s="20" t="s">
        <x:v>498</x:v>
      </x:c>
      <x:c r="B8" s="21" t="s">
        <x:v>499</x:v>
      </x:c>
      <x:c r="C8" s="21" t="s">
        <x:v>490</x:v>
      </x:c>
      <x:c r="D8" s="21">
        <x:v>350.0</x:v>
      </x:c>
      <x:c r="E8" s="21"/>
      <x:c r="F8" s="21" t="s">
        <x:v>491</x:v>
      </x:c>
      <x:c r="G8" s="24" t="s">
        <x:v>492</x:v>
      </x:c>
      <x:c r="H8" s="21" t="s">
        <x:v>500</x:v>
      </x:c>
    </x:row>
    <x:row r="9">
      <x:c r="A9" s="16" t="s">
        <x:v>501</x:v>
      </x:c>
      <x:c r="B9" s="17" t="s">
        <x:v>499</x:v>
      </x:c>
      <x:c r="C9" s="17" t="s">
        <x:v>490</x:v>
      </x:c>
      <x:c r="D9" s="17">
        <x:v>350.0</x:v>
      </x:c>
      <x:c r="E9" s="17"/>
      <x:c r="F9" s="17" t="s">
        <x:v>491</x:v>
      </x:c>
      <x:c r="G9" s="24" t="s">
        <x:v>492</x:v>
      </x:c>
      <x:c r="H9" s="17" t="s">
        <x:v>502</x:v>
      </x:c>
    </x:row>
    <x:row r="10">
      <x:c r="A10" s="41" t="inlineStr">
        <x:is>
          <x:t xml:space="preserve">LLC Formation (state TBD)</x:t>
        </x:is>
      </x:c>
      <x:c r="B10" s="21" t="s">
        <x:v>499</x:v>
      </x:c>
      <x:c r="C10" s="21" t="s">
        <x:v>490</x:v>
      </x:c>
      <x:c r="D10" s="21">
        <x:v>155.0</x:v>
      </x:c>
      <x:c r="E10" s="21"/>
      <x:c r="F10" s="21" t="s">
        <x:v>491</x:v>
      </x:c>
      <x:c r="G10" s="24" t="s">
        <x:v>492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503</x:v>
      </x:c>
      <x:c r="B11" s="21" t="s">
        <x:v>499</x:v>
      </x:c>
      <x:c r="C11" s="21" t="s">
        <x:v>490</x:v>
      </x:c>
      <x:c r="D11" s="26">
        <x:v>125.0</x:v>
      </x:c>
      <x:c r="E11" s="21"/>
      <x:c r="F11" s="21" t="s">
        <x:v>491</x:v>
      </x:c>
      <x:c r="G11" s="24" t="s">
        <x:v>492</x:v>
      </x:c>
      <x:c r="H11" s="26" t="s">
        <x:v>504</x:v>
      </x:c>
    </x:row>
    <x:row r="12">
      <x:c r="A12" s="16" t="s">
        <x:v>505</x:v>
      </x:c>
      <x:c r="B12" s="17" t="s">
        <x:v>499</x:v>
      </x:c>
      <x:c r="C12" s="17" t="s">
        <x:v>506</x:v>
      </x:c>
      <x:c r="D12" s="17">
        <x:v>125.0</x:v>
      </x:c>
      <x:c r="E12" s="17"/>
      <x:c r="F12" s="17" t="s">
        <x:v>507</x:v>
      </x:c>
      <x:c r="G12" s="24" t="s">
        <x:v>492</x:v>
      </x:c>
      <x:c r="H12" s="17" t="s">
        <x:v>508</x:v>
      </x:c>
    </x:row>
    <x:row r="13">
      <x:c r="A13" s="20" t="s">
        <x:v>509</x:v>
      </x:c>
      <x:c r="B13" s="21" t="s">
        <x:v>510</x:v>
      </x:c>
      <x:c r="C13" s="21" t="s">
        <x:v>506</x:v>
      </x:c>
      <x:c r="D13" s="21">
        <x:v>15.0</x:v>
      </x:c>
      <x:c r="E13" s="21"/>
      <x:c r="F13" s="21" t="s">
        <x:v>507</x:v>
      </x:c>
      <x:c r="G13" s="24" t="s">
        <x:v>492</x:v>
      </x:c>
      <x:c r="H13" s="21" t="s">
        <x:v>511</x:v>
      </x:c>
    </x:row>
    <x:row r="14" ht="16.5" customHeight="1">
      <x:c r="A14" s="16" t="s">
        <x:v>512</x:v>
      </x:c>
      <x:c r="B14" s="17" t="s">
        <x:v>510</x:v>
      </x:c>
      <x:c r="C14" s="17" t="s">
        <x:v>506</x:v>
      </x:c>
      <x:c r="D14" s="17">
        <x:v>30.0</x:v>
      </x:c>
      <x:c r="E14" s="17"/>
      <x:c r="F14" s="17" t="s">
        <x:v>507</x:v>
      </x:c>
      <x:c r="G14" s="24" t="s">
        <x:v>492</x:v>
      </x:c>
      <x:c r="H14" s="17" t="s">
        <x:v>513</x:v>
      </x:c>
    </x:row>
    <x:row r="15">
      <x:c r="A15" s="15" t="s">
        <x:v>514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515</x:v>
      </x:c>
      <x:c r="B16" s="33" t="s">
        <x:v>510</x:v>
      </x:c>
      <x:c r="C16" s="33" t="s">
        <x:v>516</x:v>
      </x:c>
      <x:c r="D16" s="33">
        <x:v>18.0</x:v>
      </x:c>
      <x:c r="E16" s="33"/>
      <x:c r="F16" s="33" t="s">
        <x:v>516</x:v>
      </x:c>
      <x:c r="G16" s="39" t="s">
        <x:v>492</x:v>
      </x:c>
      <x:c r="H16" s="33" t="s">
        <x:v>517</x:v>
      </x:c>
    </x:row>
    <x:row r="17">
      <x:c r="A17" s="20" t="s">
        <x:v>518</x:v>
      </x:c>
      <x:c r="B17" s="21" t="s">
        <x:v>510</x:v>
      </x:c>
      <x:c r="C17" s="21" t="s">
        <x:v>516</x:v>
      </x:c>
      <x:c r="D17" s="21">
        <x:v>0.0</x:v>
      </x:c>
      <x:c r="E17" s="21"/>
      <x:c r="F17" s="21" t="s">
        <x:v>516</x:v>
      </x:c>
      <x:c r="G17" s="24" t="s">
        <x:v>492</x:v>
      </x:c>
      <x:c r="H17" s="21" t="s">
        <x:v>519</x:v>
      </x:c>
    </x:row>
    <x:row r="18">
      <x:c r="A18" s="16" t="s">
        <x:v>520</x:v>
      </x:c>
      <x:c r="B18" s="17" t="s">
        <x:v>510</x:v>
      </x:c>
      <x:c r="C18" s="17" t="s">
        <x:v>516</x:v>
      </x:c>
      <x:c r="D18" s="17">
        <x:v>0.0</x:v>
      </x:c>
      <x:c r="E18" s="17"/>
      <x:c r="F18" s="17" t="s">
        <x:v>516</x:v>
      </x:c>
      <x:c r="G18" s="24" t="s">
        <x:v>492</x:v>
      </x:c>
      <x:c r="H18" s="17" t="s">
        <x:v>521</x:v>
      </x:c>
    </x:row>
    <x:row r="19">
      <x:c r="A19" s="20" t="s">
        <x:v>522</x:v>
      </x:c>
      <x:c r="B19" s="21" t="s">
        <x:v>510</x:v>
      </x:c>
      <x:c r="C19" s="21" t="s">
        <x:v>516</x:v>
      </x:c>
      <x:c r="D19" s="21">
        <x:v>0.0</x:v>
      </x:c>
      <x:c r="E19" s="21"/>
      <x:c r="F19" s="21" t="s">
        <x:v>516</x:v>
      </x:c>
      <x:c r="G19" s="24" t="s">
        <x:v>492</x:v>
      </x:c>
      <x:c r="H19" s="21" t="s">
        <x:v>523</x:v>
      </x:c>
    </x:row>
    <x:row r="20">
      <x:c r="A20" s="16" t="s">
        <x:v>524</x:v>
      </x:c>
      <x:c r="B20" s="17" t="s">
        <x:v>510</x:v>
      </x:c>
      <x:c r="C20" s="17" t="s">
        <x:v>516</x:v>
      </x:c>
      <x:c r="D20" s="17">
        <x:v>0.0</x:v>
      </x:c>
      <x:c r="E20" s="17"/>
      <x:c r="F20" s="17" t="s">
        <x:v>516</x:v>
      </x:c>
      <x:c r="G20" s="24" t="s">
        <x:v>492</x:v>
      </x:c>
      <x:c r="H20" s="17" t="s">
        <x:v>525</x:v>
      </x:c>
    </x:row>
    <x:row r="21" ht="15.75" customHeight="1">
      <x:c r="A21" s="20" t="s">
        <x:v>526</x:v>
      </x:c>
      <x:c r="B21" s="21" t="s">
        <x:v>510</x:v>
      </x:c>
      <x:c r="C21" s="21" t="s">
        <x:v>516</x:v>
      </x:c>
      <x:c r="D21" s="21">
        <x:v>0.0</x:v>
      </x:c>
      <x:c r="E21" s="21"/>
      <x:c r="F21" s="21" t="s">
        <x:v>516</x:v>
      </x:c>
      <x:c r="G21" s="24" t="s">
        <x:v>492</x:v>
      </x:c>
      <x:c r="H21" s="21" t="s">
        <x:v>527</x:v>
      </x:c>
    </x:row>
    <x:row r="22" ht="25.5" customHeight="1">
      <x:c r="A22" s="36" t="s">
        <x:v>528</x:v>
      </x:c>
      <x:c r="B22" s="37" t="s">
        <x:v>510</x:v>
      </x:c>
      <x:c r="C22" s="37" t="s">
        <x:v>516</x:v>
      </x:c>
      <x:c r="D22" s="37">
        <x:v>0.0</x:v>
      </x:c>
      <x:c r="E22" s="37"/>
      <x:c r="F22" s="37" t="s">
        <x:v>516</x:v>
      </x:c>
      <x:c r="G22" s="30" t="s">
        <x:v>492</x:v>
      </x:c>
      <x:c r="H22" s="37" t="s">
        <x:v>529</x:v>
      </x:c>
    </x:row>
    <x:row r="23" ht="15.75" customHeight="1">
      <x:c r="A23" s="15" t="s">
        <x:v>530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531</x:v>
      </x:c>
      <x:c r="B24" s="33" t="s">
        <x:v>489</x:v>
      </x:c>
      <x:c r="C24" s="33" t="s">
        <x:v>532</x:v>
      </x:c>
      <x:c r="D24" s="33">
        <x:v>0.0</x:v>
      </x:c>
      <x:c r="E24" s="33"/>
      <x:c r="F24" s="33" t="s">
        <x:v>533</x:v>
      </x:c>
      <x:c r="G24" s="39" t="s">
        <x:v>534</x:v>
      </x:c>
      <x:c r="H24" s="33" t="s">
        <x:v>535</x:v>
      </x:c>
    </x:row>
    <x:row r="25" ht="15.75" customHeight="1">
      <x:c r="A25" s="20" t="s">
        <x:v>536</x:v>
      </x:c>
      <x:c r="B25" s="21" t="s">
        <x:v>489</x:v>
      </x:c>
      <x:c r="C25" s="21" t="s">
        <x:v>532</x:v>
      </x:c>
      <x:c r="D25" s="21">
        <x:v>0.0</x:v>
      </x:c>
      <x:c r="E25" s="21"/>
      <x:c r="F25" s="21" t="s">
        <x:v>533</x:v>
      </x:c>
      <x:c r="G25" s="24" t="s">
        <x:v>534</x:v>
      </x:c>
      <x:c r="H25" s="21" t="s">
        <x:v>537</x:v>
      </x:c>
    </x:row>
    <x:row r="26" ht="25.5" customHeight="1">
      <x:c r="A26" s="36" t="s">
        <x:v>538</x:v>
      </x:c>
      <x:c r="B26" s="37" t="s">
        <x:v>489</x:v>
      </x:c>
      <x:c r="C26" s="37" t="s">
        <x:v>532</x:v>
      </x:c>
      <x:c r="D26" s="37">
        <x:v>0.0</x:v>
      </x:c>
      <x:c r="E26" s="37"/>
      <x:c r="F26" s="37" t="s">
        <x:v>539</x:v>
      </x:c>
      <x:c r="G26" s="30" t="s">
        <x:v>534</x:v>
      </x:c>
      <x:c r="H26" s="37" t="s">
        <x:v>540</x:v>
      </x:c>
    </x:row>
    <x:row r="27" ht="15.75" customHeight="1">
      <x:c r="A27" s="15" t="s">
        <x:v>541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542</x:v>
      </x:c>
      <x:c r="B28" s="33" t="s">
        <x:v>489</x:v>
      </x:c>
      <x:c r="C28" s="33" t="s">
        <x:v>516</x:v>
      </x:c>
      <x:c r="D28" s="33">
        <x:v>0.0</x:v>
      </x:c>
      <x:c r="E28" s="33"/>
      <x:c r="F28" s="33" t="s">
        <x:v>516</x:v>
      </x:c>
      <x:c r="G28" s="39" t="s">
        <x:v>543</x:v>
      </x:c>
      <x:c r="H28" s="33" t="s">
        <x:v>544</x:v>
      </x:c>
    </x:row>
    <x:row r="29" ht="15.75" customHeight="1">
      <x:c r="A29" s="20" t="s">
        <x:v>545</x:v>
      </x:c>
      <x:c r="B29" s="21" t="s">
        <x:v>546</x:v>
      </x:c>
      <x:c r="C29" s="21" t="s">
        <x:v>516</x:v>
      </x:c>
      <x:c r="D29" s="21">
        <x:v>0.0</x:v>
      </x:c>
      <x:c r="E29" s="21"/>
      <x:c r="F29" s="21" t="s">
        <x:v>516</x:v>
      </x:c>
      <x:c r="G29" s="24" t="s">
        <x:v>543</x:v>
      </x:c>
      <x:c r="H29" s="21" t="s">
        <x:v>547</x:v>
      </x:c>
    </x:row>
    <x:row r="30" ht="15.75" customHeight="1">
      <x:c r="A30" s="16" t="s">
        <x:v>548</x:v>
      </x:c>
      <x:c r="B30" s="17" t="s">
        <x:v>499</x:v>
      </x:c>
      <x:c r="C30" s="17" t="s">
        <x:v>516</x:v>
      </x:c>
      <x:c r="D30" s="17">
        <x:v>0.0</x:v>
      </x:c>
      <x:c r="E30" s="17"/>
      <x:c r="F30" s="17" t="s">
        <x:v>516</x:v>
      </x:c>
      <x:c r="G30" s="24" t="s">
        <x:v>543</x:v>
      </x:c>
      <x:c r="H30" s="17" t="s">
        <x:v>549</x:v>
      </x:c>
    </x:row>
    <x:row r="31" ht="25.5" customHeight="1"/>
    <x:row r="32" ht="15.75" customHeight="1">
      <x:c r="A32" s="15" t="s">
        <x:v>550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551</x:v>
      </x:c>
      <x:c r="B33" s="69" t="n">
        <x:f>SUM(D5:D11)</x:f>
        <x:v>1980</x:v>
      </x:c>
    </x:row>
    <x:row r="34" ht="15.75" customHeight="1">
      <x:c r="A34" s="7" t="s">
        <x:v>552</x:v>
      </x:c>
      <x:c r="B34" s="70">
        <x:v>170.0</x:v>
      </x:c>
    </x:row>
    <x:row r="35" ht="15.75" customHeight="1">
      <x:c r="A35" s="6" t="s">
        <x:v>553</x:v>
      </x:c>
      <x:c r="B35" s="69">
        <x:v>18.0</x:v>
      </x:c>
    </x:row>
    <x:row r="36" ht="15.75" customHeight="1">
      <x:c r="A36" s="7" t="s">
        <x:v>554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