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87939157d46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795711c1c2c4fd2"/>
    <x:sheet xmlns:r="http://schemas.openxmlformats.org/officeDocument/2006/relationships" name="Master Tracker" sheetId="2" r:id="R2044898aa65d4e38"/>
    <x:sheet xmlns:r="http://schemas.openxmlformats.org/officeDocument/2006/relationships" name="Backlog" sheetId="3" r:id="R404a5f97f40147d2"/>
    <x:sheet xmlns:r="http://schemas.openxmlformats.org/officeDocument/2006/relationships" name="Notes &amp; Assumptions" sheetId="4" r:id="Rb807e3ab990a40b4"/>
    <x:sheet xmlns:r="http://schemas.openxmlformats.org/officeDocument/2006/relationships" name="💸 Expense Tracker" sheetId="5" r:id="R7bfc52ffe2bc40f8"/>
    <x:sheet xmlns:r="http://schemas.openxmlformats.org/officeDocument/2006/relationships" name="Legacy Overview 2026-08-16" sheetId="6" r:id="R9494421699b1422d"/>
    <x:sheet xmlns:r="http://schemas.openxmlformats.org/officeDocument/2006/relationships" name="Controls" sheetId="7" r:id="R362a974d66b74322"/>
    <x:sheet xmlns:r="http://schemas.openxmlformats.org/officeDocument/2006/relationships" name="Phase Roadmap" sheetId="8" r:id="R8c78190525054a80"/>
    <x:sheet xmlns:r="http://schemas.openxmlformats.org/officeDocument/2006/relationships" name="Delivery Tracker" sheetId="9" r:id="R778bb3c34800408b"/>
    <x:sheet xmlns:r="http://schemas.openxmlformats.org/officeDocument/2006/relationships" name="Review &amp; Blocker Queue" sheetId="10" r:id="Rd242103954474179"/>
    <x:sheet xmlns:r="http://schemas.openxmlformats.org/officeDocument/2006/relationships" name="Daily Log" sheetId="11" r:id="R429c6bd7ab0245a6"/>
    <x:sheet xmlns:r="http://schemas.openxmlformats.org/officeDocument/2006/relationships" name="Decision Register" sheetId="12" r:id="R8635ba7f128346ba"/>
    <x:sheet xmlns:r="http://schemas.openxmlformats.org/officeDocument/2006/relationships" name="Launch Budget" sheetId="13" r:id="Rd60094f2100c445e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<x:sst xmlns:x="http://schemas.openxmlformats.org/spreadsheetml/2006/main">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</x:sst>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7">
    <x:numFmt numFmtId="164" formatCode="0.0%"/>
    <x:numFmt numFmtId="165" formatCode="\$#,##0"/>
    <x:numFmt numFmtId="200" formatCode="yyyy-mm-dd"/>
    <x:numFmt numFmtId="201" formatCode="&quot;$&quot;#,##0"/>
    <x:numFmt numFmtId="202" formatCode="0"/>
    <x:numFmt numFmtId="203" formatCode="&quot;$&quot;0.00"/>
    <x:numFmt numFmtId="204" formatCode="0%"/>
  </x:numFmts>
  <x:fonts count="29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  <x:font>
      <x:sz val="11"/>
      <x:color rgb="FF28232A"/>
      <x:name val="Arial"/>
    </x:font>
    <x:font>
      <x:b/>
      <x:sz val="17"/>
      <x:color rgb="FF412042"/>
      <x:name val="Arial"/>
    </x:font>
    <x:font>
      <x:sz val="11"/>
      <x:color rgb="FF24539A"/>
      <x:name val="Arial"/>
    </x:font>
    <x:font>
      <x:b/>
      <x:sz val="11"/>
      <x:color rgb="FF28232A"/>
      <x:name val="Arial"/>
    </x:font>
  </x:fonts>
  <x:fills count="17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  <x:fill>
      <x:patternFill patternType="solid">
        <x:fgColor rgb="FF412042"/>
      </x:patternFill>
    </x:fill>
    <x:fill>
      <x:patternFill patternType="solid">
        <x:fgColor rgb="FFFFF4D6"/>
      </x:patternFill>
    </x:fill>
    <x:fill>
      <x:patternFill patternType="solid">
        <x:fgColor rgb="FFF9E4ED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20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bottom" wrapText="1"/>
    </x:xf>
    <x:xf numFmtId="200" fontId="21" fillId="0" borderId="0" xfId="0" applyNumberFormat="1" applyFont="1" applyFill="1" applyBorder="1" applyAlignment="1">
      <x:alignment vertical="bottom" wrapText="1"/>
    </x:xf>
    <x:xf numFmtId="0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0" fontId="21" fillId="0" borderId="0" xfId="0" applyNumberFormat="1" applyFont="1" applyFill="1" applyBorder="1" applyAlignment="1">
      <x:alignment horizontal="general" vertical="top" wrapText="1"/>
    </x:xf>
    <x:xf numFmtId="200" fontId="21" fillId="0" borderId="0" xfId="0" applyNumberFormat="1" applyFont="1" applyFill="1" applyBorder="1" applyAlignment="1">
      <x:alignment horizontal="general" vertical="top" wrapText="1"/>
    </x:xf>
    <x:xf numFmtId="0" fontId="21" fillId="0" borderId="11" xfId="0" applyNumberFormat="1" applyFont="1" applyFill="1" applyBorder="1" applyAlignment="1">
      <x:alignment horizontal="general" vertical="top" wrapText="1"/>
    </x:xf>
    <x:xf numFmtId="200" fontId="21" fillId="0" borderId="11" xfId="0" applyNumberFormat="1" applyFont="1" applyFill="1" applyBorder="1" applyAlignment="1">
      <x:alignment horizontal="general" vertical="top" wrapText="1"/>
    </x:xf>
    <x:xf numFmtId="201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bottom" wrapText="0"/>
    </x:xf>
    <x:xf numFmtId="0" fontId="25" fillId="0" borderId="0" xfId="0" applyNumberFormat="1" applyFont="1" applyFill="1" applyBorder="1" applyAlignment="1">
      <x:alignment vertical="center" wrapText="0"/>
    </x:xf>
    <x:xf numFmtId="0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horizontal="center" vertical="center" wrapText="1"/>
    </x:xf>
    <x:xf numFmtId="202" fontId="25" fillId="0" borderId="0" xfId="0" applyNumberFormat="1" applyFont="1" applyFill="1" applyBorder="1" applyAlignment="1">
      <x:alignment horizontal="center" vertical="center" wrapText="1"/>
    </x:xf>
    <x:xf numFmtId="203" fontId="25" fillId="0" borderId="0" xfId="0" applyNumberFormat="1" applyFont="1" applyFill="1" applyBorder="1" applyAlignment="1">
      <x:alignment horizontal="center" vertical="center" wrapText="1"/>
    </x:xf>
    <x:xf numFmtId="204" fontId="25" fillId="0" borderId="0" xfId="0" applyNumberFormat="1" applyFont="1" applyFill="1" applyBorder="1" applyAlignment="1">
      <x:alignment horizontal="center" vertical="center" wrapText="1"/>
    </x:xf>
    <x:xf numFmtId="164" fontId="25" fillId="0" borderId="0" xfId="0" applyNumberFormat="1" applyFont="1" applyFill="1" applyBorder="1" applyAlignment="1">
      <x:alignment horizontal="center"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14" borderId="0" xfId="0" applyNumberFormat="1" applyFont="1" applyFill="1" applyBorder="1" applyAlignment="1">
      <x:alignment vertical="center" wrapText="1"/>
    </x:xf>
    <x:xf numFmtId="201" fontId="25" fillId="14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201" fontId="9" fillId="14" borderId="0" xfId="0" applyNumberFormat="1" applyFont="1" applyFill="1" applyBorder="1" applyAlignment="1">
      <x:alignment horizontal="center" vertical="center" wrapText="1"/>
    </x:xf>
    <x:xf numFmtId="201" fontId="25" fillId="15" borderId="0" xfId="0" applyNumberFormat="1" applyFont="1" applyFill="1" applyBorder="1" applyAlignment="1">
      <x:alignment horizontal="center" vertical="center" wrapText="1"/>
    </x:xf>
    <x:xf numFmtId="201" fontId="27" fillId="15" borderId="0" xfId="0" applyNumberFormat="1" applyFont="1" applyFill="1" applyBorder="1" applyAlignment="1">
      <x:alignment horizontal="center" vertical="center" wrapText="1"/>
    </x:xf>
    <x:xf numFmtId="202" fontId="25" fillId="15" borderId="0" xfId="0" applyNumberFormat="1" applyFont="1" applyFill="1" applyBorder="1" applyAlignment="1">
      <x:alignment horizontal="center" vertical="center" wrapText="1"/>
    </x:xf>
    <x:xf numFmtId="202" fontId="27" fillId="15" borderId="0" xfId="0" applyNumberFormat="1" applyFont="1" applyFill="1" applyBorder="1" applyAlignment="1">
      <x:alignment horizontal="center" vertical="center" wrapText="1"/>
    </x:xf>
    <x:xf numFmtId="204" fontId="25" fillId="15" borderId="0" xfId="0" applyNumberFormat="1" applyFont="1" applyFill="1" applyBorder="1" applyAlignment="1">
      <x:alignment horizontal="center" vertical="center" wrapText="1"/>
    </x:xf>
    <x:xf numFmtId="204" fontId="27" fillId="15" borderId="0" xfId="0" applyNumberFormat="1" applyFont="1" applyFill="1" applyBorder="1" applyAlignment="1">
      <x:alignment horizontal="center" vertical="center" wrapText="1"/>
    </x:xf>
    <x:xf numFmtId="203" fontId="25" fillId="15" borderId="0" xfId="0" applyNumberFormat="1" applyFont="1" applyFill="1" applyBorder="1" applyAlignment="1">
      <x:alignment horizontal="center" vertical="center" wrapText="1"/>
    </x:xf>
    <x:xf numFmtId="203" fontId="27" fillId="15" borderId="0" xfId="0" applyNumberFormat="1" applyFont="1" applyFill="1" applyBorder="1" applyAlignment="1">
      <x:alignment horizontal="center" vertical="center" wrapText="1"/>
    </x:xf>
    <x:xf numFmtId="164" fontId="25" fillId="15" borderId="0" xfId="0" applyNumberFormat="1" applyFont="1" applyFill="1" applyBorder="1" applyAlignment="1">
      <x:alignment horizontal="center" vertical="center" wrapText="1"/>
    </x:xf>
    <x:xf numFmtId="164" fontId="27" fillId="15" borderId="0" xfId="0" applyNumberFormat="1" applyFont="1" applyFill="1" applyBorder="1" applyAlignment="1">
      <x:alignment horizontal="center" vertical="center" wrapText="1"/>
    </x:xf>
    <x:xf numFmtId="201" fontId="28" fillId="0" borderId="0" xfId="0" applyNumberFormat="1" applyFont="1" applyFill="1" applyBorder="1" applyAlignment="1">
      <x:alignment horizontal="center" vertical="center" wrapText="1"/>
    </x:xf>
    <x:xf numFmtId="0" fontId="25" fillId="16" borderId="0" xfId="0" applyNumberFormat="1" applyFont="1" applyFill="1" applyBorder="1" applyAlignment="1">
      <x:alignment vertical="center" wrapText="1"/>
    </x:xf>
    <x:xf numFmtId="201" fontId="28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e38fc94fba4dc3" /><Relationship Type="http://schemas.openxmlformats.org/officeDocument/2006/relationships/theme" Target="/xl/theme/theme1.xml" Id="R6c320a088eb94f8b" /><Relationship Type="http://schemas.openxmlformats.org/officeDocument/2006/relationships/sharedStrings" Target="/xl/sharedStrings.xml" Id="R9d9f15640c084adb" /><Relationship Type="http://schemas.openxmlformats.org/officeDocument/2006/relationships/worksheet" Target="/xl/worksheets/sheet1.xml" Id="R7795711c1c2c4fd2" /><Relationship Type="http://schemas.openxmlformats.org/officeDocument/2006/relationships/worksheet" Target="/xl/worksheets/sheet2.xml" Id="R2044898aa65d4e38" /><Relationship Type="http://schemas.openxmlformats.org/officeDocument/2006/relationships/worksheet" Target="/xl/worksheets/sheet3.xml" Id="R404a5f97f40147d2" /><Relationship Type="http://schemas.openxmlformats.org/officeDocument/2006/relationships/worksheet" Target="/xl/worksheets/sheet4.xml" Id="Rb807e3ab990a40b4" /><Relationship Type="http://schemas.openxmlformats.org/officeDocument/2006/relationships/worksheet" Target="/xl/worksheets/sheet5.xml" Id="R7bfc52ffe2bc40f8" /><Relationship Type="http://schemas.openxmlformats.org/officeDocument/2006/relationships/worksheet" Target="/xl/worksheets/sheet6.xml" Id="R9494421699b1422d" /><Relationship Type="http://schemas.openxmlformats.org/officeDocument/2006/relationships/worksheet" Target="/xl/worksheets/sheet7.xml" Id="R362a974d66b74322" /><Relationship Type="http://schemas.openxmlformats.org/officeDocument/2006/relationships/worksheet" Target="/xl/worksheets/sheet8.xml" Id="R8c78190525054a80" /><Relationship Type="http://schemas.openxmlformats.org/officeDocument/2006/relationships/worksheet" Target="/xl/worksheets/sheet9.xml" Id="R778bb3c34800408b" /><Relationship Type="http://schemas.openxmlformats.org/officeDocument/2006/relationships/worksheet" Target="/xl/worksheets/sheet10.xml" Id="Rd242103954474179" /><Relationship Type="http://schemas.openxmlformats.org/officeDocument/2006/relationships/worksheet" Target="/xl/worksheets/sheet11.xml" Id="R429c6bd7ab0245a6" /><Relationship Type="http://schemas.openxmlformats.org/officeDocument/2006/relationships/worksheet" Target="/xl/worksheets/sheet12.xml" Id="R8635ba7f128346ba" /><Relationship Type="http://schemas.openxmlformats.org/officeDocument/2006/relationships/worksheet" Target="/xl/worksheets/sheet13.xml" Id="Rd60094f2100c445e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4" headerRowCount="1" totalsRowCount="0" totalsRowShown="0">
  <x:autoFilter ref="A3:S164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7" headerRowCount="1" totalsRowCount="0" totalsRowShown="0">
  <x:autoFilter ref="A3:L7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27" headerRowCount="1" totalsRowCount="0" totalsRowShown="0">
  <x:autoFilter ref="A3:J27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1f70c7d9d608491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bc07a6951aab471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9807d8f6f37d41c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48a368095cad4ec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45740b3e981745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Updated September 8, 2026. Founder reports LLC filed and CCBill sales inquiry sent. Await responses. Record counts are navigation metrics, not launch readiness.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P06 — Await CCBill sales response</x:v>
      </x:c>
      <x:c r="D5"/>
      <x:c r="E5"/>
      <x:c r="I5" s="130" t="str">
        <x:v>Founder reports Kiban Digital Holdings LLC filed in Maryland and preliminary inquiry sent to CCBill sales. Await state approval and sales response. Next: share and review the response when received. No duplicate inquiry or new founder assignment.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Await Maryland and CCBill responses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One task at a time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Veso, Connect discovery, real-time chat and tipping stay. Old Oasis game cancelled; replacement concept is post-launch.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https://github.com/QK-Connoisseur/PDoki/blob/dev/PLAN.md</x:v>
      </x:c>
      <x:c r="I9" s="131" t="str">
        <x:v>Funding notes: founder reports a $1,800 monthly ceiling; this is not lump-sum cash or funded runway. Existing $1,000–$5,000 cash assumptions remain until clarified. See Launch Budget.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161</x:v>
      </x:c>
      <x:c r="B13" s="151"/>
      <x:c r="C13" s="150" t="n">
        <x:f>COUNTIF('Delivery Tracker'!$H$4:$H$400,"Done")</x:f>
        <x:v>31</x:v>
      </x:c>
      <x:c r="D13" s="151"/>
      <x:c r="E13" s="150" t="n">
        <x:f>COUNTIF('Delivery Tracker'!$H$4:$H$400,"In Progress")</x:f>
        <x:v>50</x:v>
      </x:c>
      <x:c r="F13" s="151"/>
      <x:c r="G13" s="150" t="n">
        <x:f>COUNTIF('Delivery Tracker'!$H$4:$H$400,"In Review")</x:f>
        <x:v>0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77</x:v>
      </x:c>
      <x:c r="L13" s="151"/>
      <x:c r="M13" s="158" t="n">
        <x:f>IF(A13=0,0,C13/A13)</x:f>
        <x:v>0.19254658385093168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6</x:v>
      </x:c>
      <x:c r="F18" s="109" t="n">
        <x:f>'Phase Roadmap'!F4</x:f>
        <x:v>6</x:v>
      </x:c>
      <x:c r="G18" s="118" t="n">
        <x:f>'Phase Roadmap'!G4</x:f>
        <x:v>1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0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5</x:v>
      </x:c>
      <x:c r="F22" s="111" t="n">
        <x:f>'Phase Roadmap'!F8</x:f>
        <x:v>35</x:v>
      </x:c>
      <x:c r="G22" s="119" t="n">
        <x:f>'Phase Roadmap'!G8</x:f>
        <x:v>0.14285714285714285</x:v>
      </x:c>
      <x:c r="H22" s="111" t="n">
        <x:f>'Phase Roadmap'!H8</x:f>
        <x:v>16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14</x:v>
      </x:c>
      <x:c r="L22" s="111" t="str">
        <x:f>'Phase Roadmap'!L8</x:f>
        <x:v>Slices 1–4 have published source; operations remain dormant. Founder reports Maryland LLC filed and CCBill inquiry sent. Await approval/response; review what arrives before another founder task.</x:v>
      </x:c>
      <x:c r="M22" s="111" t="str">
        <x:f>'Phase Roadmap'!M8</x:f>
        <x:v>Resolve business/legal/provider prerequisites in sequence. G1–G12 apply to operations activation, not all synthetic local product work.</x:v>
      </x:c>
      <x:c r="N22" s="111" t="str">
        <x:f>'Phase Roadmap'!O8</x:f>
        <x:v>https://github.com/QK-Connoisseur/PDoki/pull/15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After the business definition, authorize a bounded synthetic content/media slice. Real identity/content exposure requires applicable safeguards.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Develop one complete journey incrementally with synthetic data. Real use requires creator, media, payment, entitlement and operating controls.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Connect discovery, Store and feed remain launch scope. Connect means online, price and language filters.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Real-time direct chat remains required at launch. Prototype bell/activities do not establish persisted product notifications.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Dormant operations foundation has published source. Further operations work stays parked while Maryland approval and CCBill sales response are pending.</x:v>
      </x:c>
      <x:c r="M29" s="111" t="str">
        <x:f>'Phase Roadmap'!M15</x:f>
        <x:v>Evaluate provider, restricted hosting, MFA/recovery, session, permission, audit and deployment controls when activating real operations.</x:v>
      </x:c>
      <x:c r="N29" s="111" t="str">
        <x:f>'Phase Roadmap'!O15</x:f>
        <x:v>https://github.com/QK-Connoisseur/PDoki/pull/15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 replacement concept (post-launch)</x:v>
      </x:c>
      <x:c r="C30" s="111" t="str">
        <x:f>'Phase Roadmap'!C16</x:f>
        <x:v>Deferred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0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0</x:v>
      </x:c>
      <x:c r="L30" s="111" t="str">
        <x:f>'Phase Roadmap'!L16</x:f>
        <x:v>Old Oasis/Drimy game CANCELLED on September 6, 2026. Name may be reused for day/friend streaks and playful adult language learning.</x:v>
      </x:c>
      <x:c r="M30" s="111" t="str">
        <x:f>'Phase Roadmap'!M16</x:f>
        <x:v>No launch gate. Define the replacement after launch; opt-in roasting and language concept remain unimplemented.</x:v>
      </x:c>
      <x:c r="N30" s="111" t="str">
        <x:f>'Phase Roadmap'!O16</x:f>
        <x:v>https://github.com/QK-Connoisseur/PDoki/blob/dev/PLAN.md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LLC filed and CCBill inquiry sent, per founder report. Wait for Maryland approval and CCBill sales response. Review the response when received, then choose one next action.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Slices 1–3 are published; further operations work is parked. Activation controls remain unevaluated.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arithmetic corrected to $2,366; original $1,713 retained. Use Launch Budget for current estimates.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See HANDOFF.md for verified current branches</x:v>
      </x:c>
      <x:c r="G38" s="111" t="str">
        <x:v>Latest merge</x:v>
      </x:c>
      <x:c r="H38" s="111" t="str">
        <x:v>Slice 3: PR #15; Slice 4: PR #17 merged in dev 56cb0ad</x:v>
      </x:c>
      <x:c r="I38" s="111" t="str">
        <x:v>Next founder task</x:v>
      </x:c>
      <x:c r="J38" s="111" t="str">
        <x:v>Share and review Maryland/CCBill responses when received.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Phase 4 Slice 3 is locally implemented at commit 9904334 and authorized for draft-PR review: strict provider-neutral assertion verification, DB-owned operator/grant authorization, and request-integrity seams. It is not mounted, deployed, or operational.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2026-08-23 by Codex during the authorized Phase 4 Slice 3 local implementation and draft-publication preparation.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tr">
        <x:v>Historical estimates; use Launch Budget for current planning. Maryland LLC filing reported September 8, 2026; exact filing date and actual invoice amount unverified.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461</x:v>
      </x:c>
      <x:c r="B3" s="68" t="s">
        <x:v>355</x:v>
      </x:c>
      <x:c r="C3" s="68" t="s">
        <x:v>462</x:v>
      </x:c>
      <x:c r="D3" s="68" t="s">
        <x:v>463</x:v>
      </x:c>
      <x:c r="E3" s="68" t="s">
        <x:v>464</x:v>
      </x:c>
      <x:c r="F3" s="68" t="s">
        <x:v>465</x:v>
      </x:c>
      <x:c r="G3" s="68" t="s">
        <x:v>4</x:v>
      </x:c>
      <x:c r="H3" s="68" t="s">
        <x:v>5</x:v>
      </x:c>
    </x:row>
    <x:row r="4" ht="25.5" customHeight="1">
      <x:c r="A4" s="15" t="s">
        <x:v>466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467</x:v>
      </x:c>
      <x:c r="B5" s="17" t="s">
        <x:v>468</x:v>
      </x:c>
      <x:c r="C5" s="17" t="s">
        <x:v>469</x:v>
      </x:c>
      <x:c r="D5" s="17">
        <x:v>500.0</x:v>
      </x:c>
      <x:c r="E5" s="17"/>
      <x:c r="F5" s="17" t="s">
        <x:v>470</x:v>
      </x:c>
      <x:c r="G5" s="24" t="s">
        <x:v>471</x:v>
      </x:c>
      <x:c r="H5" s="17" t="s">
        <x:v>472</x:v>
      </x:c>
    </x:row>
    <x:row r="6">
      <x:c r="A6" s="20" t="s">
        <x:v>473</x:v>
      </x:c>
      <x:c r="B6" s="21" t="s">
        <x:v>468</x:v>
      </x:c>
      <x:c r="C6" s="21" t="s">
        <x:v>469</x:v>
      </x:c>
      <x:c r="D6" s="21">
        <x:v>500.0</x:v>
      </x:c>
      <x:c r="E6" s="21"/>
      <x:c r="F6" s="21" t="s">
        <x:v>470</x:v>
      </x:c>
      <x:c r="G6" s="24" t="s">
        <x:v>471</x:v>
      </x:c>
      <x:c r="H6" s="21" t="s">
        <x:v>474</x:v>
      </x:c>
    </x:row>
    <x:row r="7">
      <x:c r="A7" s="16" t="s">
        <x:v>475</x:v>
      </x:c>
      <x:c r="B7" s="17" t="s">
        <x:v>468</x:v>
      </x:c>
      <x:c r="C7" s="17" t="s">
        <x:v>469</x:v>
      </x:c>
      <x:c r="D7" s="17">
        <x:v>0.0</x:v>
      </x:c>
      <x:c r="E7" s="17"/>
      <x:c r="F7" s="17" t="s">
        <x:v>470</x:v>
      </x:c>
      <x:c r="G7" s="24" t="s">
        <x:v>471</x:v>
      </x:c>
      <x:c r="H7" s="17" t="s">
        <x:v>476</x:v>
      </x:c>
    </x:row>
    <x:row r="8">
      <x:c r="A8" s="20" t="s">
        <x:v>477</x:v>
      </x:c>
      <x:c r="B8" s="21" t="s">
        <x:v>478</x:v>
      </x:c>
      <x:c r="C8" s="21" t="s">
        <x:v>469</x:v>
      </x:c>
      <x:c r="D8" s="21">
        <x:v>350.0</x:v>
      </x:c>
      <x:c r="E8" s="21"/>
      <x:c r="F8" s="21" t="s">
        <x:v>470</x:v>
      </x:c>
      <x:c r="G8" s="24" t="s">
        <x:v>471</x:v>
      </x:c>
      <x:c r="H8" s="21" t="s">
        <x:v>479</x:v>
      </x:c>
    </x:row>
    <x:row r="9">
      <x:c r="A9" s="16" t="s">
        <x:v>480</x:v>
      </x:c>
      <x:c r="B9" s="17" t="s">
        <x:v>478</x:v>
      </x:c>
      <x:c r="C9" s="17" t="s">
        <x:v>469</x:v>
      </x:c>
      <x:c r="D9" s="17">
        <x:v>350.0</x:v>
      </x:c>
      <x:c r="E9" s="17"/>
      <x:c r="F9" s="17" t="s">
        <x:v>470</x:v>
      </x:c>
      <x:c r="G9" s="24" t="s">
        <x:v>471</x:v>
      </x:c>
      <x:c r="H9" s="17" t="s">
        <x:v>481</x:v>
      </x:c>
    </x:row>
    <x:row r="10">
      <x:c r="A10" s="41" t="str">
        <x:v>LLC formation — Maryland / Northwest</x:v>
      </x:c>
      <x:c r="B10" s="21" t="s">
        <x:v>478</x:v>
      </x:c>
      <x:c r="C10" s="21" t="s">
        <x:v>469</x:v>
      </x:c>
      <x:c r="D10" s="21">
        <x:v>155.0</x:v>
      </x:c>
      <x:c r="E10" s="21"/>
      <x:c r="F10" s="21" t="s">
        <x:v>470</x:v>
      </x:c>
      <x:c r="G10" s="24" t="str">
        <x:v>Filed</x:v>
      </x:c>
      <x:c r="H10" s="43" t="str">
        <x:v>Founder reports Kiban Digital Holdings LLC filed, awaiting Maryland approval. September 8 is the report date; filing date and payment amount unverified. D10 is historical, not the Northwest price.</x:v>
      </x:c>
    </x:row>
    <x:row r="11">
      <x:c r="A11" s="25" t="s">
        <x:v>482</x:v>
      </x:c>
      <x:c r="B11" s="21" t="s">
        <x:v>478</x:v>
      </x:c>
      <x:c r="C11" s="21" t="s">
        <x:v>469</x:v>
      </x:c>
      <x:c r="D11" s="26">
        <x:v>125.0</x:v>
      </x:c>
      <x:c r="E11" s="21"/>
      <x:c r="F11" s="21" t="s">
        <x:v>470</x:v>
      </x:c>
      <x:c r="G11" s="24" t="s">
        <x:v>471</x:v>
      </x:c>
      <x:c r="H11" s="26" t="s">
        <x:v>483</x:v>
      </x:c>
    </x:row>
    <x:row r="12">
      <x:c r="A12" s="16" t="s">
        <x:v>484</x:v>
      </x:c>
      <x:c r="B12" s="17" t="s">
        <x:v>478</x:v>
      </x:c>
      <x:c r="C12" s="17" t="s">
        <x:v>485</x:v>
      </x:c>
      <x:c r="D12" s="17">
        <x:v>125.0</x:v>
      </x:c>
      <x:c r="E12" s="17"/>
      <x:c r="F12" s="17" t="s">
        <x:v>486</x:v>
      </x:c>
      <x:c r="G12" s="24" t="s">
        <x:v>471</x:v>
      </x:c>
      <x:c r="H12" s="17" t="s">
        <x:v>487</x:v>
      </x:c>
    </x:row>
    <x:row r="13">
      <x:c r="A13" s="20" t="s">
        <x:v>488</x:v>
      </x:c>
      <x:c r="B13" s="21" t="s">
        <x:v>489</x:v>
      </x:c>
      <x:c r="C13" s="21" t="s">
        <x:v>485</x:v>
      </x:c>
      <x:c r="D13" s="21">
        <x:v>15.0</x:v>
      </x:c>
      <x:c r="E13" s="21"/>
      <x:c r="F13" s="21" t="s">
        <x:v>486</x:v>
      </x:c>
      <x:c r="G13" s="24" t="s">
        <x:v>471</x:v>
      </x:c>
      <x:c r="H13" s="21" t="s">
        <x:v>490</x:v>
      </x:c>
    </x:row>
    <x:row r="14" ht="16.5" customHeight="1">
      <x:c r="A14" s="16" t="s">
        <x:v>491</x:v>
      </x:c>
      <x:c r="B14" s="17" t="s">
        <x:v>489</x:v>
      </x:c>
      <x:c r="C14" s="17" t="s">
        <x:v>485</x:v>
      </x:c>
      <x:c r="D14" s="17">
        <x:v>30.0</x:v>
      </x:c>
      <x:c r="E14" s="17"/>
      <x:c r="F14" s="17" t="s">
        <x:v>486</x:v>
      </x:c>
      <x:c r="G14" s="24" t="s">
        <x:v>471</x:v>
      </x:c>
      <x:c r="H14" s="17" t="s">
        <x:v>492</x:v>
      </x:c>
    </x:row>
    <x:row r="15">
      <x:c r="A15" s="15" t="s">
        <x:v>493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494</x:v>
      </x:c>
      <x:c r="B16" s="33" t="s">
        <x:v>489</x:v>
      </x:c>
      <x:c r="C16" s="33" t="s">
        <x:v>495</x:v>
      </x:c>
      <x:c r="D16" s="33">
        <x:v>18.0</x:v>
      </x:c>
      <x:c r="E16" s="33"/>
      <x:c r="F16" s="33" t="s">
        <x:v>495</x:v>
      </x:c>
      <x:c r="G16" s="39" t="s">
        <x:v>471</x:v>
      </x:c>
      <x:c r="H16" s="33" t="s">
        <x:v>496</x:v>
      </x:c>
    </x:row>
    <x:row r="17">
      <x:c r="A17" s="20" t="s">
        <x:v>497</x:v>
      </x:c>
      <x:c r="B17" s="21" t="s">
        <x:v>489</x:v>
      </x:c>
      <x:c r="C17" s="21" t="s">
        <x:v>495</x:v>
      </x:c>
      <x:c r="D17" s="21">
        <x:v>0.0</x:v>
      </x:c>
      <x:c r="E17" s="21"/>
      <x:c r="F17" s="21" t="s">
        <x:v>495</x:v>
      </x:c>
      <x:c r="G17" s="24" t="s">
        <x:v>471</x:v>
      </x:c>
      <x:c r="H17" s="21" t="s">
        <x:v>498</x:v>
      </x:c>
    </x:row>
    <x:row r="18">
      <x:c r="A18" s="16" t="s">
        <x:v>499</x:v>
      </x:c>
      <x:c r="B18" s="17" t="s">
        <x:v>489</x:v>
      </x:c>
      <x:c r="C18" s="17" t="s">
        <x:v>495</x:v>
      </x:c>
      <x:c r="D18" s="17">
        <x:v>0.0</x:v>
      </x:c>
      <x:c r="E18" s="17"/>
      <x:c r="F18" s="17" t="s">
        <x:v>495</x:v>
      </x:c>
      <x:c r="G18" s="24" t="s">
        <x:v>471</x:v>
      </x:c>
      <x:c r="H18" s="17" t="s">
        <x:v>500</x:v>
      </x:c>
    </x:row>
    <x:row r="19">
      <x:c r="A19" s="20" t="s">
        <x:v>501</x:v>
      </x:c>
      <x:c r="B19" s="21" t="s">
        <x:v>489</x:v>
      </x:c>
      <x:c r="C19" s="21" t="s">
        <x:v>495</x:v>
      </x:c>
      <x:c r="D19" s="21">
        <x:v>0.0</x:v>
      </x:c>
      <x:c r="E19" s="21"/>
      <x:c r="F19" s="21" t="s">
        <x:v>495</x:v>
      </x:c>
      <x:c r="G19" s="24" t="s">
        <x:v>471</x:v>
      </x:c>
      <x:c r="H19" s="21" t="s">
        <x:v>502</x:v>
      </x:c>
    </x:row>
    <x:row r="20">
      <x:c r="A20" s="16" t="s">
        <x:v>503</x:v>
      </x:c>
      <x:c r="B20" s="17" t="s">
        <x:v>489</x:v>
      </x:c>
      <x:c r="C20" s="17" t="s">
        <x:v>495</x:v>
      </x:c>
      <x:c r="D20" s="17">
        <x:v>0.0</x:v>
      </x:c>
      <x:c r="E20" s="17"/>
      <x:c r="F20" s="17" t="s">
        <x:v>495</x:v>
      </x:c>
      <x:c r="G20" s="24" t="s">
        <x:v>471</x:v>
      </x:c>
      <x:c r="H20" s="17" t="s">
        <x:v>504</x:v>
      </x:c>
    </x:row>
    <x:row r="21" ht="15.75" customHeight="1">
      <x:c r="A21" s="20" t="s">
        <x:v>505</x:v>
      </x:c>
      <x:c r="B21" s="21" t="s">
        <x:v>489</x:v>
      </x:c>
      <x:c r="C21" s="21" t="s">
        <x:v>495</x:v>
      </x:c>
      <x:c r="D21" s="21">
        <x:v>0.0</x:v>
      </x:c>
      <x:c r="E21" s="21"/>
      <x:c r="F21" s="21" t="s">
        <x:v>495</x:v>
      </x:c>
      <x:c r="G21" s="24" t="s">
        <x:v>471</x:v>
      </x:c>
      <x:c r="H21" s="21" t="s">
        <x:v>506</x:v>
      </x:c>
    </x:row>
    <x:row r="22" ht="25.5" customHeight="1">
      <x:c r="A22" s="36" t="s">
        <x:v>507</x:v>
      </x:c>
      <x:c r="B22" s="37" t="s">
        <x:v>489</x:v>
      </x:c>
      <x:c r="C22" s="37" t="s">
        <x:v>495</x:v>
      </x:c>
      <x:c r="D22" s="37">
        <x:v>0.0</x:v>
      </x:c>
      <x:c r="E22" s="37"/>
      <x:c r="F22" s="37" t="s">
        <x:v>495</x:v>
      </x:c>
      <x:c r="G22" s="30" t="s">
        <x:v>471</x:v>
      </x:c>
      <x:c r="H22" s="37" t="s">
        <x:v>508</x:v>
      </x:c>
    </x:row>
    <x:row r="23" ht="15.75" customHeight="1">
      <x:c r="A23" s="15" t="s">
        <x:v>509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510</x:v>
      </x:c>
      <x:c r="B24" s="33" t="s">
        <x:v>468</x:v>
      </x:c>
      <x:c r="C24" s="33" t="s">
        <x:v>511</x:v>
      </x:c>
      <x:c r="D24" s="33">
        <x:v>0.0</x:v>
      </x:c>
      <x:c r="E24" s="33"/>
      <x:c r="F24" s="33" t="s">
        <x:v>512</x:v>
      </x:c>
      <x:c r="G24" s="39" t="s">
        <x:v>513</x:v>
      </x:c>
      <x:c r="H24" s="33" t="s">
        <x:v>514</x:v>
      </x:c>
    </x:row>
    <x:row r="25" ht="15.75" customHeight="1">
      <x:c r="A25" s="20" t="s">
        <x:v>515</x:v>
      </x:c>
      <x:c r="B25" s="21" t="s">
        <x:v>468</x:v>
      </x:c>
      <x:c r="C25" s="21" t="s">
        <x:v>511</x:v>
      </x:c>
      <x:c r="D25" s="21">
        <x:v>0.0</x:v>
      </x:c>
      <x:c r="E25" s="21"/>
      <x:c r="F25" s="21" t="s">
        <x:v>512</x:v>
      </x:c>
      <x:c r="G25" s="24" t="s">
        <x:v>513</x:v>
      </x:c>
      <x:c r="H25" s="21" t="s">
        <x:v>516</x:v>
      </x:c>
    </x:row>
    <x:row r="26" ht="25.5" customHeight="1">
      <x:c r="A26" s="36" t="s">
        <x:v>517</x:v>
      </x:c>
      <x:c r="B26" s="37" t="s">
        <x:v>468</x:v>
      </x:c>
      <x:c r="C26" s="37" t="s">
        <x:v>511</x:v>
      </x:c>
      <x:c r="D26" s="37">
        <x:v>0.0</x:v>
      </x:c>
      <x:c r="E26" s="37"/>
      <x:c r="F26" s="37" t="s">
        <x:v>518</x:v>
      </x:c>
      <x:c r="G26" s="30" t="s">
        <x:v>513</x:v>
      </x:c>
      <x:c r="H26" s="37" t="s">
        <x:v>519</x:v>
      </x:c>
    </x:row>
    <x:row r="27" ht="15.75" customHeight="1">
      <x:c r="A27" s="15" t="s">
        <x:v>520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521</x:v>
      </x:c>
      <x:c r="B28" s="33" t="s">
        <x:v>468</x:v>
      </x:c>
      <x:c r="C28" s="33" t="s">
        <x:v>495</x:v>
      </x:c>
      <x:c r="D28" s="33">
        <x:v>0.0</x:v>
      </x:c>
      <x:c r="E28" s="33"/>
      <x:c r="F28" s="33" t="s">
        <x:v>495</x:v>
      </x:c>
      <x:c r="G28" s="39" t="s">
        <x:v>522</x:v>
      </x:c>
      <x:c r="H28" s="33" t="s">
        <x:v>523</x:v>
      </x:c>
    </x:row>
    <x:row r="29" ht="15.75" customHeight="1">
      <x:c r="A29" s="20" t="s">
        <x:v>524</x:v>
      </x:c>
      <x:c r="B29" s="21" t="s">
        <x:v>525</x:v>
      </x:c>
      <x:c r="C29" s="21" t="s">
        <x:v>495</x:v>
      </x:c>
      <x:c r="D29" s="21">
        <x:v>0.0</x:v>
      </x:c>
      <x:c r="E29" s="21"/>
      <x:c r="F29" s="21" t="s">
        <x:v>495</x:v>
      </x:c>
      <x:c r="G29" s="24" t="s">
        <x:v>522</x:v>
      </x:c>
      <x:c r="H29" s="21" t="s">
        <x:v>526</x:v>
      </x:c>
    </x:row>
    <x:row r="30" ht="15.75" customHeight="1">
      <x:c r="A30" s="16" t="s">
        <x:v>527</x:v>
      </x:c>
      <x:c r="B30" s="17" t="s">
        <x:v>478</x:v>
      </x:c>
      <x:c r="C30" s="17" t="s">
        <x:v>495</x:v>
      </x:c>
      <x:c r="D30" s="17">
        <x:v>0.0</x:v>
      </x:c>
      <x:c r="E30" s="17"/>
      <x:c r="F30" s="17" t="s">
        <x:v>495</x:v>
      </x:c>
      <x:c r="G30" s="24" t="s">
        <x:v>522</x:v>
      </x:c>
      <x:c r="H30" s="17" t="s">
        <x:v>528</x:v>
      </x:c>
    </x:row>
    <x:row r="31" ht="25.5" customHeight="1"/>
    <x:row r="32" ht="15.75" customHeight="1">
      <x:c r="A32" s="15" t="s">
        <x:v>529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530</x:v>
      </x:c>
      <x:c r="B33" s="69" t="n">
        <x:f>SUM(D5:D11)</x:f>
        <x:v>1980</x:v>
      </x:c>
    </x:row>
    <x:row r="34" ht="15.75" customHeight="1">
      <x:c r="A34" s="7" t="s">
        <x:v>531</x:v>
      </x:c>
      <x:c r="B34" s="70" t="n">
        <x:f>SUM(D12:D14)</x:f>
        <x:v>170</x:v>
      </x:c>
    </x:row>
    <x:row r="35" ht="15.75" customHeight="1">
      <x:c r="A35" s="6" t="s">
        <x:v>532</x:v>
      </x:c>
      <x:c r="B35" s="69" t="n">
        <x:f>SUM(D16:D22)</x:f>
        <x:v>18</x:v>
      </x:c>
    </x:row>
    <x:row r="36" ht="15.75" customHeight="1">
      <x:c r="A36" s="7" t="s">
        <x:v>533</x:v>
      </x:c>
      <x:c r="B36" s="70" t="n">
        <x:f>B33+B34+B35*12</x:f>
        <x:v>2366</x:v>
      </x:c>
    </x:row>
    <x:row r="37" ht="15.75" customHeight="1"/>
    <x:row r="38" ht="15.75" customHeight="1">
      <x:c r="A38" t="str">
        <x:v>Original displayed Year 1 total</x:v>
      </x:c>
      <x:c r="B38" s="172" t="n">
        <x:v>1713</x:v>
      </x:c>
    </x:row>
    <x:row r="39" ht="15.75" customHeight="1">
      <x:c r="A39" t="str">
        <x:v>Arithmetic correction</x:v>
      </x:c>
      <x:c r="B39" s="172" t="n">
        <x:f>B36-B38</x:f>
        <x:v>653</x:v>
      </x:c>
    </x:row>
    <x:row r="40" ht="38" customHeight="1">
      <x:c r="A40" t="str">
        <x:v>Current budget</x:v>
      </x:c>
      <x:c r="B40" s="82" t="str">
        <x:v>See Launch Budget. Old registration, legal, free-tier and processor assumptions are superseded.</x:v>
      </x:c>
      <x:c r="C40" s="82"/>
      <x:c r="D40" s="82"/>
      <x:c r="E40" s="82"/>
      <x:c r="F40" s="82"/>
      <x:c r="G40" s="82"/>
      <x:c r="H40" s="82"/>
    </x:row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  <x:mergeCell ref="B40:H4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534</x:v>
      </x:c>
      <x:c r="B1"/>
      <x:c r="C1"/>
      <x:c r="D1"/>
      <x:c r="E1"/>
      <x:c r="F1"/>
      <x:c r="G1"/>
    </x:row>
    <x:row r="2">
      <x:c r="A2" t="s">
        <x:v>535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536</x:v>
      </x:c>
      <x:c r="B4"/>
      <x:c r="C4"/>
      <x:c r="D4" t="s">
        <x:v>537</x:v>
      </x:c>
      <x:c r="E4"/>
      <x:c r="F4"/>
      <x:c r="G4"/>
    </x:row>
    <x:row r="5">
      <x:c r="A5" t="s">
        <x:v>538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539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540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541</x:v>
      </x:c>
      <x:c r="B12"/>
      <x:c r="C12" t="s">
        <x:v>542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543</x:v>
      </x:c>
      <x:c r="D14"/>
      <x:c r="E14"/>
      <x:c r="F14"/>
      <x:c r="G14"/>
    </x:row>
    <x:row r="15">
      <x:c r="A15" t="s">
        <x:v>21</x:v>
      </x:c>
      <x:c r="B15"/>
      <x:c r="C15" t="s">
        <x:v>544</x:v>
      </x:c>
      <x:c r="D15"/>
      <x:c r="E15"/>
      <x:c r="F15"/>
      <x:c r="G15"/>
    </x:row>
    <x:row r="16">
      <x:c r="A16"/>
      <x:c r="B16"/>
      <x:c r="C16" t="s">
        <x:v>545</x:v>
      </x:c>
      <x:c r="D16"/>
      <x:c r="E16"/>
      <x:c r="F16"/>
      <x:c r="G16"/>
    </x:row>
    <x:row r="17">
      <x:c r="A17"/>
      <x:c r="B17"/>
      <x:c r="C17" t="s">
        <x:v>546</x:v>
      </x:c>
      <x:c r="D17"/>
      <x:c r="E17"/>
      <x:c r="F17"/>
      <x:c r="G17"/>
    </x:row>
    <x:row r="18">
      <x:c r="A18"/>
      <x:c r="B18"/>
      <x:c r="C18" t="s">
        <x:v>547</x:v>
      </x:c>
      <x:c r="D18"/>
      <x:c r="E18"/>
      <x:c r="F18"/>
      <x:c r="G18"/>
    </x:row>
    <x:row r="19">
      <x:c r="A19"/>
      <x:c r="B19"/>
      <x:c r="C19" t="s">
        <x:v>548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 replacement concept (post-launch)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Historical Year 1 arithmetic corrected to $2,366 on September 6, 2026; old $1,713 retained. Use Launch Budget for current planning.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6</x:v>
      </x:c>
      <x:c r="F4" s="109" t="n">
        <x:f>COUNTIF('Delivery Tracker'!$B$4:$B$400,$A4)</x:f>
        <x:v>6</x:v>
      </x:c>
      <x:c r="G4" s="118" t="n">
        <x:f>IF(F4=0,0,E4/F4)</x:f>
        <x:v>1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0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5</x:v>
      </x:c>
      <x:c r="F8" s="111" t="n">
        <x:f>COUNTIF('Delivery Tracker'!$B$4:$B$400,$A8)</x:f>
        <x:v>35</x:v>
      </x:c>
      <x:c r="G8" s="119" t="n">
        <x:f>IF(F8=0,0,E8/F8)</x:f>
        <x:v>0.14285714285714285</x:v>
      </x:c>
      <x:c r="H8" s="111" t="n">
        <x:f>COUNTIFS('Delivery Tracker'!$B$4:$B$400,$A8,'Delivery Tracker'!$H$4:$H$400,"In Progress")</x:f>
        <x:v>16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14</x:v>
      </x:c>
      <x:c r="L8" s="111" t="str">
        <x:v>Slices 1–4 have published source; operations remain dormant. Founder reports Maryland LLC filed and CCBill inquiry sent. Await approval/response; review what arrives before another founder task.</x:v>
      </x:c>
      <x:c r="M8" s="111" t="str">
        <x:v>Resolve business/legal/provider prerequisites in sequence. G1–G12 apply to operations activation, not all synthetic local product work.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https://github.com/QK-Connoisseur/PDoki/pull/15</x:v>
      </x:c>
      <x:c r="P8" s="112" t="n">
        <x:v>46271.666666666664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After the business definition, authorize a bounded synthetic content/media slice. Real identity/content exposure requires applicable safeguards.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46271.666666666664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Develop one complete journey incrementally with synthetic data. Real use requires creator, media, payment, entitlement and operating controls.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46271.666666666664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Connect discovery, Store and feed remain launch scope. Connect means online, price and language filters.</x:v>
      </x:c>
      <x:c r="M12" s="111" t="str">
        <x:v>Integrate only after content, entitlement, and Veso foundations exist.</x:v>
      </x:c>
      <x:c r="N12" s="111" t="str">
        <x:v>Feed actions persist; Store uses real data; creator discovery filters work. Separately define service order/payment rules.</x:v>
      </x:c>
      <x:c r="O12" s="111" t="str">
        <x:v>https://github.com/QK-Connoisseur/PDoki/blob/dev/PLAN.md#12-phase-8--feed-social-actions-store-and-connect</x:v>
      </x:c>
      <x:c r="P12" s="112" t="n">
        <x:v>46271.666666666664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Real-time direct chat remains required at launch. Prototype bell/activities do not establish persisted product notifications.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46271.666666666664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Dormant operations foundation has published source. Further operations work stays parked while Maryland approval and CCBill sales response are pending.</x:v>
      </x:c>
      <x:c r="M15" s="111" t="str">
        <x:v>Evaluate provider, restricted hosting, MFA/recovery, session, permission, audit and deployment controls when activating real operations.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https://github.com/QK-Connoisseur/PDoki/pull/15</x:v>
      </x:c>
      <x:c r="P15" s="112" t="n">
        <x:v>46271.666666666664</x:v>
      </x:c>
    </x:row>
    <x:row r="16" ht="58" customHeight="1">
      <x:c r="A16" s="111" t="str">
        <x:v>P12</x:v>
      </x:c>
      <x:c r="B16" s="111" t="str">
        <x:v>Oasis replacement concept (post-launch)</x:v>
      </x:c>
      <x:c r="C16" s="111" t="str">
        <x:v>Deferred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0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0</x:v>
      </x:c>
      <x:c r="L16" s="111" t="str">
        <x:v>Old Oasis/Drimy game CANCELLED on September 6, 2026. Name may be reused for day/friend streaks and playful adult language learning.</x:v>
      </x:c>
      <x:c r="M16" s="111" t="str">
        <x:v>No launch gate. Define the replacement after launch; opt-in roasting and language concept remain unimplemented.</x:v>
      </x:c>
      <x:c r="N16" s="111" t="str">
        <x:v>Old game exit criteria superseded. Future concept requires its own approved scope.</x:v>
      </x:c>
      <x:c r="O16" s="111" t="str">
        <x:v>https://github.com/QK-Connoisseur/PDoki/blob/dev/PLAN.md</x:v>
      </x:c>
      <x:c r="P16" s="112" t="n">
        <x:v>46271.666666666664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70c7d9d608491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Review the CCBill sales response for account-specific compliance requirements when received; assemble requested evidence in sequence afterward.</x:v>
      </x:c>
      <x:c r="N18" s="112"/>
      <x:c r="O18" s="111" t="str"/>
      <x:c r="P18" s="112" t="n">
        <x:v>46273.666666666664</x:v>
      </x:c>
      <x:c r="Q18" s="111" t="str">
        <x:v>Document policies/controls required by CCBill and Epoch for merchant onboarding.</x:v>
      </x:c>
      <x:c r="R18" s="111" t="str">
        <x:v>Founder reports preliminary inquiry sent to CCBill sales. No response, formal merchant application or approval evidenced. Epoch may follow later. Await response before choosing another founder task.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Northwest / founder records</x:v>
      </x:c>
      <x:c r="M23" s="111" t="str">
        <x:v>Review the approved filing and published address details when Northwest supplies them; actual state approval remains pending.</x:v>
      </x:c>
      <x:c r="N23" s="112"/>
      <x:c r="O23" s="111" t="str"/>
      <x:c r="P23" s="112" t="n">
        <x:v>46273.666666666664</x:v>
      </x:c>
      <x:c r="Q23" s="111" t="str">
        <x:v>Manage privacy concerns — MD biz records may expose personal identity linked to NSFW platform.</x:v>
      </x:c>
      <x:c r="R23" s="111" t="str">
        <x:v>Founder reports Kiban Digital Holdings LLC filed in Maryland through Northwest, awaiting approval. Final published address/privacy details remain unverified. State-comparison task is superseded.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Define founder badge and a fee that recovers attributable costs without profit on founding creator sales. Duration, covered costs and no-loss economics need validation.</x:v>
      </x:c>
      <x:c r="N40" s="112"/>
      <x:c r="O40" s="111" t="str"/>
      <x:c r="P40" s="112" t="n">
        <x:v>46271.666666666664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Founder answers reviewed September 6, 2026: processing-fees-only superseded. Two contacts may recruit 50–100 prospects, not commitments. Longer target ~500; Plus/top 100 rewards remain provisional.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Build persisted creator discovery with online, price and language filters. Service/order terms need separate definition.</x:v>
      </x:c>
      <x:c r="N68" s="112"/>
      <x:c r="O68" s="111" t="str"/>
      <x:c r="P68" s="112" t="n">
        <x:v>46271.666666666664</x:v>
      </x:c>
      <x:c r="Q68" s="111" t="str">
        <x:v>Connect is a creator discovery/explore page. It does not itself imply an automated scheduling, booking or fulfillment system.</x:v>
      </x:c>
      <x:c r="R68" s="111" t="str">
        <x:v>Founder clarified September 6, 2026. Old full-booking interpretation superseded; launch discovery remains required.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Critical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46271.666666666664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Critical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46271.666666666664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Critical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46271.666666666664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Critical</x:v>
      </x:c>
      <x:c r="K136" s="111" t="str">
        <x:v>Engineering</x:v>
      </x:c>
      <x:c r="L136" s="111" t="str"/>
      <x:c r="M136" s="111" t="str">
        <x:v>Build persisted creator discovery with online, price and language filters. Service/order terms need separate definition.</x:v>
      </x:c>
      <x:c r="N136" s="112"/>
      <x:c r="O136" s="111" t="str"/>
      <x:c r="P136" s="112" t="n">
        <x:v>46271.666666666664</x:v>
      </x:c>
      <x:c r="Q136" s="111" t="str">
        <x:v>Connect is a creator discovery/explore page. It does not itself imply an automated scheduling, booking or fulfillment system.</x:v>
      </x:c>
      <x:c r="R136" s="111" t="str">
        <x:v>Founder clarified September 6, 2026. Old full-booking interpretation superseded; launch discovery remains required.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CANCELLED: old Oasis / Drimy game</x:v>
      </x:c>
      <x:c r="H137" s="111" t="str">
        <x:v>Deferred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>
        <x:v>Cancelled by founder</x:v>
      </x:c>
      <x:c r="M137" s="111" t="str">
        <x:v>Do not implement this legacy game. Future streak/language concept is separate and post-launch.</x:v>
      </x:c>
      <x:c r="N137" s="112"/>
      <x:c r="O137" s="111" t="str"/>
      <x:c r="P137" s="112" t="n">
        <x:v>46271.666666666664</x:v>
      </x:c>
      <x:c r="Q137" s="111" t="str">
        <x:v>Create server-authoritative Drimy ownership, XP, Orbs, tasks, evolution, inventory, achievements, and daily resets.</x:v>
      </x:c>
      <x:c r="R137" s="111" t="str">
        <x:v>Cancelled September 6, 2026. Historical specification retained in Scope/Description and preserved Master Tracker. This is not a launch dependency.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CANCELLED: old Oasis game collectibles</x:v>
      </x:c>
      <x:c r="H138" s="111" t="str">
        <x:v>Deferred</x:v>
      </x:c>
      <x:c r="I138" s="111" t="str">
        <x:v>N/A</x:v>
      </x:c>
      <x:c r="J138" s="111" t="str">
        <x:v>Low</x:v>
      </x:c>
      <x:c r="K138" s="111" t="str">
        <x:v>Engineering</x:v>
      </x:c>
      <x:c r="L138" s="111" t="str">
        <x:v>Cancelled by founder</x:v>
      </x:c>
      <x:c r="M138" s="111" t="str">
        <x:v>Do not implement this legacy game. Future streak/language concept is separate and post-launch.</x:v>
      </x:c>
      <x:c r="N138" s="112"/>
      <x:c r="O138" s="111" t="str"/>
      <x:c r="P138" s="112" t="n">
        <x:v>46271.666666666664</x:v>
      </x:c>
      <x:c r="Q138" s="111" t="str">
        <x:v>Create collectible backgrounds, skins, frames, badges, equipped states, fixed-price store items, and reward inventory.</x:v>
      </x:c>
      <x:c r="R138" s="111" t="str">
        <x:v>Cancelled September 6, 2026. Historical specification retained in Scope/Description and preserved Master Tracker. This is not a launch dependency.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Complete Maryland LLC formation</x:v>
      </x:c>
      <x:c r="H145" s="111" t="str">
        <x:v>In Progress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Northwest / state approval</x:v>
      </x:c>
      <x:c r="M145" s="111" t="str">
        <x:v>Await Maryland approval and approved documents. Filing is reported complete; exact filing date/ID, EIN, bank setup and actual invoice remain unverified.</x:v>
      </x:c>
      <x:c r="N145" s="112"/>
      <x:c r="O145" s="111" t="str"/>
      <x:c r="P145" s="112" t="n">
        <x:v>46273.666666666664</x:v>
      </x:c>
      <x:c r="Q145" s="111" t="str">
        <x:v>Maryland LLC selected and filing reported by founder for Kiban Digital Holdings LLC through Northwest. Record approved filing and address details once returned.</x:v>
      </x:c>
      <x:c r="R145" s="111" t="str">
        <x:v>Founder reported filing complete September 8, 2026; this is the report date, not a verified filing date. State approval pending. Filing ID and actual cost were not supplied.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Done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Publish truthful prototype cleanup with the next approved website release. Final legal/contact copy follows counsel approval and operational proof.</x:v>
      </x:c>
      <x:c r="N149" s="112"/>
      <x:c r="O149" s="111" t="str">
        <x:v>https://github.com/QK-Connoisseur/PDoki/commit/56cb0adaffa4896aa9d54257b4eecfe18804bb54</x:v>
      </x:c>
      <x:c r="P149" s="112" t="n">
        <x:v>46271.666666666664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Prototype legal claims and unconfigured production-looking contacts corrected and pushed to dev in 56cb0ad. Final CI/main publication evidence is in HANDOFF.md. A source merge does not deploy the website or establish final policies.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  <x:row r="162" ht="46" customHeight="1">
      <x:c r="A162" s="170" t="str">
        <x:v>P04-OPS-001</x:v>
      </x:c>
      <x:c r="B162" s="170" t="str">
        <x:v>P04</x:v>
      </x:c>
      <x:c r="C162" s="170" t="str">
        <x:v>Legal, trust, and creator onboarding</x:v>
      </x:c>
      <x:c r="D162" s="170" t="str">
        <x:v>P11</x:v>
      </x:c>
      <x:c r="E162" s="170" t="str">
        <x:v>Supplemental</x:v>
      </x:c>
      <x:c r="F162" s="170" t="str">
        <x:v>Private operations &amp; moderation</x:v>
      </x:c>
      <x:c r="G162" s="170" t="str">
        <x:v>Verify signed private-operations assertions</x:v>
      </x:c>
      <x:c r="H162" s="170" t="str">
        <x:v>Done</x:v>
      </x:c>
      <x:c r="I162" s="170" t="str">
        <x:v>Backend Implemented</x:v>
      </x:c>
      <x:c r="J162" s="170" t="str">
        <x:v>Critical</x:v>
      </x:c>
      <x:c r="K162" s="170" t="str">
        <x:v>Engineering</x:v>
      </x:c>
      <x:c r="L162" s="170"/>
      <x:c r="M162" s="170" t="str">
        <x:v>Preserve the dormant boundary. Additional operations work is parked; production activation requires its applicable controls.</x:v>
      </x:c>
      <x:c r="N162" s="170"/>
      <x:c r="O162" s="170" t="str">
        <x:v>https://github.com/QK-Connoisseur/PDoki/pull/15</x:v>
      </x:c>
      <x:c r="P162" s="171" t="n">
        <x:v>46271.666666666664</x:v>
      </x:c>
      <x:c r="Q162" s="170" t="str">
        <x:v>Provider-neutral signed assertion verification for the dormant private-operations boundary.</x:v>
      </x:c>
      <x:c r="R162" s="170" t="str">
        <x:v>Slice 3 merged through PR #15. Local foundation completed; public router remains unmounted. No operational approval, role promotion, identity collection or deployment.</x:v>
      </x:c>
      <x:c r="S162" s="170" t="str">
        <x:v>Supports PLAN Phase 4 and the Phase 11 private-operations dependency.</x:v>
      </x:c>
    </x:row>
    <x:row r="163" ht="46" customHeight="1">
      <x:c r="A163" s="170" t="str">
        <x:v>P04-OPS-002</x:v>
      </x:c>
      <x:c r="B163" s="170" t="str">
        <x:v>P04</x:v>
      </x:c>
      <x:c r="C163" s="170" t="str">
        <x:v>Legal, trust, and creator onboarding</x:v>
      </x:c>
      <x:c r="D163" s="170" t="str">
        <x:v>P11</x:v>
      </x:c>
      <x:c r="E163" s="170" t="str">
        <x:v>Supplemental</x:v>
      </x:c>
      <x:c r="F163" s="170" t="str">
        <x:v>Private operations &amp; moderation</x:v>
      </x:c>
      <x:c r="G163" s="170" t="str">
        <x:v>Enforce explicit operator provisioning and transaction-time authorization</x:v>
      </x:c>
      <x:c r="H163" s="170" t="str">
        <x:v>Done</x:v>
      </x:c>
      <x:c r="I163" s="170" t="str">
        <x:v>Backend Implemented</x:v>
      </x:c>
      <x:c r="J163" s="170" t="str">
        <x:v>Critical</x:v>
      </x:c>
      <x:c r="K163" s="170" t="str">
        <x:v>Engineering</x:v>
      </x:c>
      <x:c r="L163" s="170"/>
      <x:c r="M163" s="170" t="str">
        <x:v>Preserve the dormant boundary. Additional operations work is parked; production activation requires its applicable controls.</x:v>
      </x:c>
      <x:c r="N163" s="170"/>
      <x:c r="O163" s="170" t="str">
        <x:v>https://github.com/QK-Connoisseur/PDoki/pull/15</x:v>
      </x:c>
      <x:c r="P163" s="171" t="n">
        <x:v>46271.666666666664</x:v>
      </x:c>
      <x:c r="Q163" s="170" t="str">
        <x:v>Database-owned operator identity and permission evidence for dormant non-approval reviews.</x:v>
      </x:c>
      <x:c r="R163" s="170" t="str">
        <x:v>Slice 3 merged through PR #15. Local foundation completed; public router remains unmounted. No operational approval, role promotion, identity collection or deployment.</x:v>
      </x:c>
      <x:c r="S163" s="170" t="str">
        <x:v>Supports PLAN Phase 4 and the Phase 11 private-operations dependency.</x:v>
      </x:c>
    </x:row>
    <x:row r="164" ht="46" customHeight="1">
      <x:c r="A164" s="170" t="str">
        <x:v>P04-OPS-003</x:v>
      </x:c>
      <x:c r="B164" s="170" t="str">
        <x:v>P04</x:v>
      </x:c>
      <x:c r="C164" s="170" t="str">
        <x:v>Legal, trust, and creator onboarding</x:v>
      </x:c>
      <x:c r="D164" s="170" t="str">
        <x:v>P11</x:v>
      </x:c>
      <x:c r="E164" s="170" t="str">
        <x:v>Supplemental</x:v>
      </x:c>
      <x:c r="F164" s="170" t="str">
        <x:v>Private operations &amp; moderation</x:v>
      </x:c>
      <x:c r="G164" s="170" t="str">
        <x:v>Verify the dormant private request-integrity boundary</x:v>
      </x:c>
      <x:c r="H164" s="170" t="str">
        <x:v>Done</x:v>
      </x:c>
      <x:c r="I164" s="170" t="str">
        <x:v>Backend Implemented</x:v>
      </x:c>
      <x:c r="J164" s="170" t="str">
        <x:v>High</x:v>
      </x:c>
      <x:c r="K164" s="170" t="str">
        <x:v>Engineering</x:v>
      </x:c>
      <x:c r="L164" s="170"/>
      <x:c r="M164" s="170" t="str">
        <x:v>Preserve the dormant boundary. Additional operations work is parked; production activation requires its applicable controls.</x:v>
      </x:c>
      <x:c r="N164" s="170"/>
      <x:c r="O164" s="170" t="str">
        <x:v>https://github.com/QK-Connoisseur/PDoki/pull/15</x:v>
      </x:c>
      <x:c r="P164" s="171" t="n">
        <x:v>46271.666666666664</x:v>
      </x:c>
      <x:c r="Q164" s="170" t="str">
        <x:v>Test-only request-integrity composition and safe audit evidence for the unmounted operations router.</x:v>
      </x:c>
      <x:c r="R164" s="170" t="str">
        <x:v>Slice 3 merged through PR #15. Local foundation completed; public router remains unmounted. No operational approval, role promotion, identity collection or deployment.</x:v>
      </x:c>
      <x:c r="S164" s="170" t="str">
        <x:v>Supports PLAN Phase 4 and the Phase 11 private-operations dependency.</x:v>
      </x:c>
    </x:row>
  </x:sheetData>
  <x:mergeCells>
    <x:mergeCell ref="A1:S1"/>
    <x:mergeCell ref="A2:S2"/>
  </x:mergeCells>
  <x:conditionalFormatting sqref="H4:H164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4">
      <x:formula1>"Not Started,Ready,In Progress,In Review,Blocked,Done,Deferred"</x:formula1>
    </x:dataValidation>
    <x:dataValidation type="list" sqref="I4:I164">
      <x:formula1>"Decision Locked,UI Prototype,Backend Implemented,Integrated,Production-Ready,N/A"</x:formula1>
    </x:dataValidation>
    <x:dataValidation type="list" sqref="J4:J164">
      <x:formula1>"Critical,High,Medium,Low"</x:formula1>
    </x:dataValidation>
    <x:dataValidation type="list" sqref="K4:K164">
      <x:formula1>"Founder,Engineering,Operations,Counsel,Unassigned"</x:formula1>
    </x:dataValidation>
    <x:dataValidation type="list" sqref="E4:E164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07a6951aab471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DEC-CCBILL</x:v>
      </x:c>
      <x:c r="B4" s="109" t="str">
        <x:v>P06</x:v>
      </x:c>
      <x:c r="C4" s="109" t="str">
        <x:v>Wallet, payments and payouts</x:v>
      </x:c>
      <x:c r="D4" s="109" t="str">
        <x:v>Await processor response</x:v>
      </x:c>
      <x:c r="E4" s="109" t="str">
        <x:v>Review CCBill response when received</x:v>
      </x:c>
      <x:c r="F4" s="109" t="str">
        <x:v>In Progress</x:v>
      </x:c>
      <x:c r="G4" s="109" t="str">
        <x:v>Founder</x:v>
      </x:c>
      <x:c r="H4" s="109" t="str">
        <x:v>Awaiting CCBill sales response</x:v>
      </x:c>
      <x:c r="I4" s="109" t="str">
        <x:v>Founder reports CCBill sales inquiry sent and Maryland LLC filed. Wait for sales response and state approval; share/review what arrives before the next founder action. No reply or approval evidenced.</x:v>
      </x:c>
      <x:c r="J4" s="110"/>
      <x:c r="K4" s="109" t="str">
        <x:v>docs/product/initial-ccbill-inquiry.md</x:v>
      </x:c>
      <x:c r="L4" s="110" t="n">
        <x:v>46273.666666666664</x:v>
      </x:c>
    </x:row>
    <x:row r="5" ht="54" customHeight="1">
      <x:c r="A5" s="111" t="str">
        <x:v>DEC-LEGAL-UI-TRUTH</x:v>
      </x:c>
      <x:c r="B5" s="111" t="str">
        <x:v>P04</x:v>
      </x:c>
      <x:c r="C5" s="111" t="str">
        <x:v>Legal, trust, and creator onboarding</x:v>
      </x:c>
      <x:c r="D5" s="111" t="str">
        <x:v>Truthful prototype copy</x:v>
      </x:c>
      <x:c r="E5" s="111" t="str">
        <x:v>Release verified legal UI cleanup</x:v>
      </x:c>
      <x:c r="F5" s="111" t="str">
        <x:v>Deferred</x:v>
      </x:c>
      <x:c r="G5" s="111" t="str">
        <x:v>Engineering</x:v>
      </x:c>
      <x:c r="H5" s="111" t="str">
        <x:v>Approved website release</x:v>
      </x:c>
      <x:c r="I5" s="111" t="str">
        <x:v>Cleanup source is pushed to dev in 56cb0ad. Deploy in an approved website release; final counsel policies and actual processes remain future work. CI/main evidence is in HANDOFF.md.</x:v>
      </x:c>
      <x:c r="J5" s="112"/>
      <x:c r="K5" s="111" t="str">
        <x:v>https://github.com/QK-Connoisseur/PDoki/commit/56cb0adaffa4896aa9d54257b4eecfe18804bb54</x:v>
      </x:c>
      <x:c r="L5" s="112" t="n">
        <x:v>46271.666666666664</x:v>
      </x:c>
    </x:row>
    <x:row r="6" ht="54" customHeight="1">
      <x:c r="A6" s="111" t="str">
        <x:v>P04-S4-RECONCILE</x:v>
      </x:c>
      <x:c r="B6" s="111" t="str">
        <x:v>P04</x:v>
      </x:c>
      <x:c r="C6" s="111" t="str">
        <x:v>Legal, trust, and creator onboarding</x:v>
      </x:c>
      <x:c r="D6" s="111" t="str">
        <x:v>Branch reconciliation</x:v>
      </x:c>
      <x:c r="E6" s="111" t="str">
        <x:v>Slice 4 source published to dev</x:v>
      </x:c>
      <x:c r="F6" s="111" t="str">
        <x:v>Done</x:v>
      </x:c>
      <x:c r="G6" s="111" t="str">
        <x:v>Engineering</x:v>
      </x:c>
      <x:c r="H6" s="111"/>
      <x:c r="I6" s="111" t="str">
        <x:v>PR #17 merged through dev 56cb0ad, preserving 317abda/25057bd ancestry. Final CI and main-publication evidence is in HANDOFF.md; no deployment or operations activation is implied.</x:v>
      </x:c>
      <x:c r="J6" s="112"/>
      <x:c r="K6" s="111" t="str">
        <x:v>https://github.com/QK-Connoisseur/PDoki/pull/17</x:v>
      </x:c>
      <x:c r="L6" s="112" t="n">
        <x:v>46271.666666666664</x:v>
      </x:c>
    </x:row>
    <x:row r="7" ht="54" customHeight="1">
      <x:c r="A7" s="111" t="str">
        <x:v>P07-E2E-001</x:v>
      </x:c>
      <x:c r="B7" s="111" t="str">
        <x:v>P07</x:v>
      </x:c>
      <x:c r="C7" s="111" t="str">
        <x:v>Core end-to-end vertical slice</x:v>
      </x:c>
      <x:c r="D7" s="111" t="str">
        <x:v>Core vertical slice</x:v>
      </x:c>
      <x:c r="E7" s="111" t="str">
        <x:v>Complete the member-to-creator end-to-end product flow</x:v>
      </x:c>
      <x:c r="F7" s="111" t="str">
        <x:v>Blocked</x:v>
      </x:c>
      <x:c r="G7" s="111" t="str">
        <x:v>Engineering</x:v>
      </x:c>
      <x:c r="H7" s="111" t="str">
        <x:v>Phase 4–6 dependencies</x:v>
      </x:c>
      <x:c r="I7" s="111" t="str">
        <x:v>Build incrementally with synthetic data after the founder definition. Real use requires applicable creator/media/payment/operations controls.</x:v>
      </x:c>
      <x:c r="J7" s="112"/>
      <x:c r="K7" s="111" t="str">
        <x:v>https://github.com/QK-Connoisseur/PDoki/blob/dev/PLAN.md#11-phase-7--core-end-to-end-vertical-slice</x:v>
      </x:c>
      <x:c r="L7" s="112" t="n">
        <x:v>46255.666666666664</x:v>
      </x:c>
    </x:row>
    <x:row r="8" ht="54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2"/>
      <x:c r="K8" s="111"/>
      <x:c r="L8" s="112"/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9807d8f6f37d41c9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2" t="n">
        <x:v>46257.666666666664</x:v>
      </x:c>
      <x:c r="B8" s="111" t="str">
        <x:v>P04-OPS-001</x:v>
      </x:c>
      <x:c r="C8" s="111" t="str">
        <x:v>P04</x:v>
      </x:c>
      <x:c r="D8" s="111" t="str">
        <x:v>Build a dormant private-operations identity/access foundation.</x:v>
      </x:c>
      <x:c r="E8" s="111" t="str">
        <x:v>Added strict signed-assertion verification, DB-owned exact operator mappings and permission grants, transaction-time reauthorization, request-integrity seams, immutable history protections, and direct-peer/redacted audit evidence.</x:v>
      </x:c>
      <x:c r="F8" s="111" t="str">
        <x:v>The next operations review work can be evaluated against production-shaped local trust-boundary primitives instead of trusting injected identities or caller-supplied permissions.</x:v>
      </x:c>
      <x:c r="G8" s="111" t="str">
        <x:v>The review router remains unmounted. No APPROVED transition, role promotion, identity collection/files, live provider or issuer, operations session/server, private origin, runtime DB roles, deployment, or live configuration was added; G1–G12 remain NOT EVALUATED.</x:v>
      </x:c>
      <x:c r="H8" s="111" t="str">
        <x:v>https://github.com/QK-Connoisseur/PDoki/blob/codex/phase4-private-ops-access-foundation/docs/architecture/phase4-slice3-private-operations-access-foundation.md · implementation commit 9904334 · 287 API / 166 web / 24 contracts / 15 focused DB-review tests</x:v>
      </x:c>
      <x:c r="I8" s="111" t="str">
        <x:v>In Review</x:v>
      </x:c>
      <x:c r="J8" s="111" t="str">
        <x:v>Draft-PR publication is authorized; merge and every activation/deployment step remain separately gated.</x:v>
      </x:c>
      <x:c r="K8" s="111" t="str">
        <x:v>Publish the draft PR, require exact-head CI, and review the dormant trust boundary without activation.</x:v>
      </x:c>
      <x:c r="L8" s="111" t="str">
        <x:v>Codex</x:v>
      </x:c>
    </x:row>
    <x:row r="9" ht="110" customHeight="1">
      <x:c r="A9" s="111" t="n">
        <x:v>46271.666666666664</x:v>
      </x:c>
      <x:c r="B9" s="111" t="str">
        <x:v>DEC-SEQUENTIAL</x:v>
      </x:c>
      <x:c r="C9" s="111" t="str">
        <x:v>P00</x:v>
      </x:c>
      <x:c r="D9" s="111" t="str">
        <x:v>Record founder launch corrections and funding limits.</x:v>
      </x:c>
      <x:c r="E9" s="111" t="str">
        <x:v>Retained Veso, Connect discovery, real-time chat and tipping; cancelled the old Oasis game; recorded post-launch streak concept, provisional founding/Plus offers and staged cash budget.</x:v>
      </x:c>
      <x:c r="F9" s="111" t="str">
        <x:v>The next founder task is the initial business definition, with no spending required.</x:v>
      </x:c>
      <x:c r="G9" s="111" t="str">
        <x:v>No provider selected, public benefit promised, purchase made, deployment or activation authorized by this budget.</x:v>
      </x:c>
      <x:c r="H9" s="111" t="str">
        <x:v>Founder decision, September 6, 2026; Launch Budget; Decision Register</x:v>
      </x:c>
      <x:c r="I9" s="111" t="str">
        <x:v>Done</x:v>
      </x:c>
      <x:c r="J9" s="111" t="str">
        <x:v>Qualified service quotes and commercial terms remain open.</x:v>
      </x:c>
      <x:c r="K9" s="111" t="str">
        <x:v>Complete the one-page initial business definition.</x:v>
      </x:c>
      <x:c r="L9" s="111" t="str">
        <x:v>Codex</x:v>
      </x:c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a368095cad4ec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/>
      <x:c r="F8" s="111" t="str">
        <x:v>Deferred</x:v>
      </x:c>
      <x:c r="G8" s="111" t="str">
        <x:v>Local Mailpit and provider-neutral mail exist. Production startup correctly fails closed without approved delivery.</x:v>
      </x:c>
      <x:c r="H8" s="111" t="str">
        <x:v>Choose email after entity, processor fit, country/data boundaries and funded staging scope are known. Configure and test sender authentication, bounce handling and delivery before external account flows.</x:v>
      </x:c>
      <x:c r="I8" s="111" t="str">
        <x:v>https://github.com/QK-Connoisseur/PDoki/tree/dev/docs/operations</x:v>
      </x:c>
      <x:c r="J8" s="112" t="n">
        <x:v>46271.666666666664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Maryland LLC filed; approval pending</x:v>
      </x:c>
      <x:c r="D9" s="111" t="str">
        <x:v>Founder</x:v>
      </x:c>
      <x:c r="E9" s="112"/>
      <x:c r="F9" s="111" t="str">
        <x:v>In Progress</x:v>
      </x:c>
      <x:c r="G9" s="111" t="str">
        <x:v>Founder reports Kiban Digital Holdings LLC filed in Maryland through Northwest; state approval pending. Exact filing date, filing ID, EIN, bank account and actual cost have not been supplied.</x:v>
      </x:c>
      <x:c r="H9" s="111" t="str">
        <x:v>Await Maryland approval and approved formation documents. Record invoice when available. Next founder action is to share and review the received Maryland or CCBill response.</x:v>
      </x:c>
      <x:c r="I9" s="111" t="str">
        <x:v>Founder report, September 8, 2026: LLC filed and CCBill sales inquiry sent. Exact event times, state approval and processor response not supplied.</x:v>
      </x:c>
      <x:c r="J9" s="112" t="n">
        <x:v>46273.666666666664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Preliminary CCBill model fit and costs</x:v>
      </x:c>
      <x:c r="D10" s="111" t="str">
        <x:v>Founder</x:v>
      </x:c>
      <x:c r="E10" s="112"/>
      <x:c r="F10" s="111" t="str">
        <x:v>In Progress</x:v>
      </x:c>
      <x:c r="G10" s="111" t="str">
        <x:v>Founder reports the preliminary inquiry was sent to CCBill sales. No reply, quote, formal merchant approval or activation is evidenced. Epoch remains a possible later provider.</x:v>
      </x:c>
      <x:c r="H10" s="111" t="str">
        <x:v>Await and review the sales response for model eligibility, countries, Veso, creator payouts, complete fees/reserves and required documents. Do not send a duplicate inquiry or assume approval.</x:v>
      </x:c>
      <x:c r="I10" s="111" t="str">
        <x:v>Founder report, September 8, 2026: LLC filed and CCBill sales inquiry sent. Exact event times, state approval and processor response not supplied.</x:v>
      </x:c>
      <x:c r="J10" s="112" t="n">
        <x:v>46273.666666666664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Operating location is confirmed as Maryland, USA. Creator/member countries remain unanswered; eligibility and service coverage remain unresolved.</x:v>
      </x:c>
      <x:c r="H13" s="111" t="str">
        <x:v>Use CCBill eligibility to narrow proposed creator/member countries. Obtain targeted legal review of unresolved country obligations before real launch.</x:v>
      </x:c>
      <x:c r="I13" s="111" t="str">
        <x:v>docs/product/initial-business-definition.md — founder answers reviewed September 6, 2026</x:v>
      </x:c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Founder corrected the offer: Pumdoki should recover costs without profit on founding creator sales. Processing-fees-only is superseded. Duration, fee allocation and no-loss economics are unproven.</x:v>
      </x:c>
      <x:c r="H14" s="111" t="str">
        <x:v>After counsel/processor fit, define attributable costs, refunds, chargebacks, reserves and payout allocation before quoting founder fees. No loss-free promise is supported yet.</x:v>
      </x:c>
      <x:c r="I14" s="111" t="str">
        <x:v>docs/product/initial-business-definition.md — founder answers reviewed September 6, 2026</x:v>
      </x:c>
      <x:c r="J14" s="112" t="n">
        <x:v>46271.666666666664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Deferred</x:v>
      </x:c>
      <x:c r="G16" s="111" t="str">
        <x:v>Slice 3 merged in PR #15. Provider-neutral dormant foundation exists; no operational provider/session/hosting activation. G1–G12 remain NOT EVALUATED.</x:v>
      </x:c>
      <x:c r="H16" s="111" t="str">
        <x:v>Operations work stays parked while awaiting CCBill response. Slice 4 is published; final CI/main evidence is in HANDOFF.md. Deployment and activation remain separate.</x:v>
      </x:c>
      <x:c r="I16" s="111" t="str">
        <x:v>https://github.com/QK-Connoisseur/PDoki/pull/15</x:v>
      </x:c>
      <x:c r="J16" s="112" t="n">
        <x:v>46271.666666666664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Engineering</x:v>
      </x:c>
      <x:c r="E18" s="112"/>
      <x:c r="F18" s="111" t="str">
        <x:v>Done</x:v>
      </x:c>
      <x:c r="G18" s="111" t="str">
        <x:v>Corrected historical Year 1 arithmetic: 1,980 + 170 + 18 × 12 = 2,366. The old 1,713 is retained in Expense Tracker B38. Historical cost assumptions are superseded.</x:v>
      </x:c>
      <x:c r="H18" s="111" t="str">
        <x:v>Use Launch Budget for current cash planning; replace allowances with accepted quotes in sequence.</x:v>
      </x:c>
      <x:c r="I18" s="111" t="str">
        <x:v>Expense Tracker B33:B40; Launch Budget</x:v>
      </x:c>
      <x:c r="J18" s="112" t="n">
        <x:v>46271.666666666664</x:v>
      </x:c>
    </x:row>
    <x:row r="19" ht="95" customHeight="1">
      <x:c r="A19" s="173" t="str">
        <x:v>DEC-SEQUENTIAL</x:v>
      </x:c>
      <x:c r="B19" s="173" t="str">
        <x:v>P00</x:v>
      </x:c>
      <x:c r="C19" s="173" t="str">
        <x:v>Initial business definition and sequential workflow</x:v>
      </x:c>
      <x:c r="D19" s="173" t="str">
        <x:v>Founder</x:v>
      </x:c>
      <x:c r="E19" s="173"/>
      <x:c r="F19" s="173" t="str">
        <x:v>Done</x:v>
      </x:c>
      <x:c r="G19" s="173" t="str">
        <x:v>Business definition answered/reviewed and operating location confirmed as Maryland, USA. Work remains sequential, one founder assignment at a time.</x:v>
      </x:c>
      <x:c r="H19" s="173" t="str">
        <x:v>Current: await Maryland approval and CCBill sales response. Founder reports filing and inquiry completed. Share/review the response when received, then choose one next action.</x:v>
      </x:c>
      <x:c r="I19" s="173" t="str">
        <x:v>Founder report, September 8, 2026: LLC filed and CCBill sales inquiry sent. Exact event times, state approval and processor response not supplied.</x:v>
      </x:c>
      <x:c r="J19" s="174" t="n">
        <x:v>46273.666666666664</x:v>
      </x:c>
    </x:row>
    <x:row r="20" ht="95" customHeight="1">
      <x:c r="A20" s="173" t="str">
        <x:v>DEC-LAUNCH-SCOPE</x:v>
      </x:c>
      <x:c r="B20" s="173" t="str">
        <x:v>P00</x:v>
      </x:c>
      <x:c r="C20" s="173" t="str">
        <x:v>Veso, discovery, real-time chat and tipping remain launch scope</x:v>
      </x:c>
      <x:c r="D20" s="173" t="str">
        <x:v>Founder</x:v>
      </x:c>
      <x:c r="E20" s="173"/>
      <x:c r="F20" s="173" t="str">
        <x:v>Done</x:v>
      </x:c>
      <x:c r="G20" s="173" t="str">
        <x:v>Veso stays. Connect is creator discovery filtered by online status, price and language. Real-time chat and tipping remain required.</x:v>
      </x:c>
      <x:c r="H20" s="173" t="str">
        <x:v>Implement within funded launch scope. Do not assume a full automated booking/scheduling system from the Connect page.</x:v>
      </x:c>
      <x:c r="I20" s="173" t="str">
        <x:v>Founder decision, September 6, 2026</x:v>
      </x:c>
      <x:c r="J20" s="174" t="n">
        <x:v>46271.666666666664</x:v>
      </x:c>
    </x:row>
    <x:row r="21" ht="95" customHeight="1">
      <x:c r="A21" s="173" t="str">
        <x:v>DEC-OASIS-CANCEL</x:v>
      </x:c>
      <x:c r="B21" s="173" t="str">
        <x:v>P12</x:v>
      </x:c>
      <x:c r="C21" s="173" t="str">
        <x:v>Cancel the old Oasis/Drimy game</x:v>
      </x:c>
      <x:c r="D21" s="173" t="str">
        <x:v>Founder</x:v>
      </x:c>
      <x:c r="E21" s="173"/>
      <x:c r="F21" s="173" t="str">
        <x:v>Done</x:v>
      </x:c>
      <x:c r="G21" s="173" t="str">
        <x:v>The collectible pet/game, XP, Orbs, evolution, inventory and reward economy are cancelled. Historical prototype records are retained.</x:v>
      </x:c>
      <x:c r="H21" s="173" t="str">
        <x:v>Do not build the old game or count it as a launch gate.</x:v>
      </x:c>
      <x:c r="I21" s="173" t="str">
        <x:v>Founder decision, September 6, 2026</x:v>
      </x:c>
      <x:c r="J21" s="174" t="n">
        <x:v>46271.666666666664</x:v>
      </x:c>
    </x:row>
    <x:row r="22" ht="95" customHeight="1">
      <x:c r="A22" s="173" t="str">
        <x:v>DEC-OASIS-NEW</x:v>
      </x:c>
      <x:c r="B22" s="173" t="str">
        <x:v>POST</x:v>
      </x:c>
      <x:c r="C22" s="173" t="str">
        <x:v>Future streaks and playful language concept</x:v>
      </x:c>
      <x:c r="D22" s="173" t="str">
        <x:v>Founder</x:v>
      </x:c>
      <x:c r="E22" s="173"/>
      <x:c r="F22" s="173" t="str">
        <x:v>Deferred</x:v>
      </x:c>
      <x:c r="G22" s="173" t="str">
        <x:v>Oasis name may be reused for day/friend streaks and playful adult language/profanity learning, including optional roasting. This is a future concept, not the old game.</x:v>
      </x:c>
      <x:c r="H22" s="173" t="str">
        <x:v>Define after launch. No implementation, paid randomized mechanics or new launch gate is approved.</x:v>
      </x:c>
      <x:c r="I22" s="173" t="str">
        <x:v>Founder decision, September 6, 2026</x:v>
      </x:c>
      <x:c r="J22" s="174" t="n">
        <x:v>46271.666666666664</x:v>
      </x:c>
    </x:row>
    <x:row r="23" ht="95" customHeight="1">
      <x:c r="A23" s="173" t="str">
        <x:v>DEC-FOUNDING-OFFER</x:v>
      </x:c>
      <x:c r="B23" s="173" t="str">
        <x:v>P06</x:v>
      </x:c>
      <x:c r="C23" s="173" t="str">
        <x:v>Founding creator acquisition and benefits</x:v>
      </x:c>
      <x:c r="D23" s="173" t="str">
        <x:v>Founder</x:v>
      </x:c>
      <x:c r="E23" s="173"/>
      <x:c r="F23" s="173" t="str">
        <x:v>In Progress</x:v>
      </x:c>
      <x:c r="G23" s="173" t="str">
        <x:v>Two contacts could help recruit 50–100 creators; these are prospects, not commitments. Founder badge and cost recovery with no profit on founder sales remain the direction. About 500 is a longer target.</x:v>
      </x:c>
      <x:c r="H23" s="173" t="str">
        <x:v>Define first-cohort eligibility, countries, duration and cost allocation after counsel/processor fit. No-loss economics and Plus/top 100 benefits remain unproven.</x:v>
      </x:c>
      <x:c r="I23" s="173" t="str">
        <x:v>docs/product/initial-business-definition.md — founder answers reviewed September 6, 2026</x:v>
      </x:c>
      <x:c r="J23" s="174" t="n">
        <x:v>46271.666666666664</x:v>
      </x:c>
    </x:row>
    <x:row r="24" ht="95" customHeight="1">
      <x:c r="A24" s="173" t="str">
        <x:v>DEC-PLUS-IDEAS</x:v>
      </x:c>
      <x:c r="B24" s="173" t="str">
        <x:v>POST</x:v>
      </x:c>
      <x:c r="C24" s="173" t="str">
        <x:v>Plus rewards, leaderboard and visual feedback</x:v>
      </x:c>
      <x:c r="D24" s="173" t="str">
        <x:v>Founder</x:v>
      </x:c>
      <x:c r="E24" s="173"/>
      <x:c r="F24" s="173" t="str">
        <x:v>Deferred</x:v>
      </x:c>
      <x:c r="G24" s="173" t="str">
        <x:v>Top 100 free Plus memberships, leaderboard, avatar decoration, animations, sounds and lively marketing are ideas. No reward cost/duration or entitlement promise is approved.</x:v>
      </x:c>
      <x:c r="H24" s="173" t="str">
        <x:v>Revisit after core launch economics. Keep static themes; motion needs separate accessibility/performance review.</x:v>
      </x:c>
      <x:c r="I24" s="173" t="str">
        <x:v>Founder direction, September 6, 2026</x:v>
      </x:c>
      <x:c r="J24" s="174" t="n">
        <x:v>46271.666666666664</x:v>
      </x:c>
    </x:row>
    <x:row r="25" ht="95" customHeight="1">
      <x:c r="A25" s="173" t="str">
        <x:v>DEC-CASH-20260906</x:v>
      </x:c>
      <x:c r="B25" s="173" t="str">
        <x:v>P00</x:v>
      </x:c>
      <x:c r="C25" s="173" t="str">
        <x:v>Frugal staged budget</x:v>
      </x:c>
      <x:c r="D25" s="173" t="str">
        <x:v>Founder</x:v>
      </x:c>
      <x:c r="E25" s="173"/>
      <x:c r="F25" s="173" t="str">
        <x:v>In Progress</x:v>
      </x:c>
      <x:c r="G25" s="173" t="str">
        <x:v>Founder now reports a $1,800 monthly ceiling and proposed recruiter/helper $300–$400/month. Inclusion in that ceiling and overlap with budget backup allowance are unconfirmed. Earlier cash assumptions remain.</x:v>
      </x:c>
      <x:c r="H25" s="173" t="str">
        <x:v>Keep cost allowances until actual quotes/invoices support changes. LLC filing is reported but amount/payment details were not supplied; actual cost remains blank. Monthly funding and helper overlap remain unresolved.</x:v>
      </x:c>
      <x:c r="I25" s="173" t="str">
        <x:v>Founder funding statements September 6 and filed-LLC/sent-inquiry report September 8, 2026</x:v>
      </x:c>
      <x:c r="J25" s="174" t="n">
        <x:v>46273.666666666664</x:v>
      </x:c>
    </x:row>
    <x:row r="26" ht="95" customHeight="1">
      <x:c r="A26" s="173" t="str">
        <x:v>DEC-HUMAN-REVIEW</x:v>
      </x:c>
      <x:c r="B26" s="173" t="str">
        <x:v>P14</x:v>
      </x:c>
      <x:c r="C26" s="173" t="str">
        <x:v>Human review timing and limited scopes</x:v>
      </x:c>
      <x:c r="D26" s="173" t="str">
        <x:v>Founder</x:v>
      </x:c>
      <x:c r="E26" s="173"/>
      <x:c r="F26" s="173" t="str">
        <x:v>Ready</x:v>
      </x:c>
      <x:c r="G26" s="173" t="str">
        <x:v>Use DIY work, suitable Fiverr specialists and drafts to control cost. Necessary legal work uses a qualified lawyer reviewing the actual model. Record the reviewed version, corrections and remaining limitations.</x:v>
      </x:c>
      <x:c r="H26" s="173" t="str">
        <x:v>Buy targeted legal advice only for unresolved requirements or necessary document/workflow review. Technical design review precedes fixed money/media designs; independent integrated assessment and retest precede real launch.</x:v>
      </x:c>
      <x:c r="I26" s="173" t="str">
        <x:v>Founder instruction, September 8, 2026</x:v>
      </x:c>
      <x:c r="J26" s="174" t="n">
        <x:v>46273.666666666664</x:v>
      </x:c>
    </x:row>
    <x:row r="27" ht="95" customHeight="1">
      <x:c r="A27" s="173" t="str">
        <x:v>DEC-LEGAL-UI-TRUTH</x:v>
      </x:c>
      <x:c r="B27" s="173" t="str">
        <x:v>P04</x:v>
      </x:c>
      <x:c r="C27" s="173" t="str">
        <x:v>Truthful prototype legal UI and production replacement</x:v>
      </x:c>
      <x:c r="D27" s="173" t="str">
        <x:v>Engineering</x:v>
      </x:c>
      <x:c r="E27" s="173"/>
      <x:c r="F27" s="173" t="str">
        <x:v>Done</x:v>
      </x:c>
      <x:c r="G27" s="173" t="str">
        <x:v>Truthful prototype legal cleanup is pushed to dev in 56cb0ad. Local web219, contracts24, non-database API273 and builds passed. Production policies and processes remain unfinished.</x:v>
      </x:c>
      <x:c r="H27" s="173" t="str">
        <x:v>Ship truthful placeholder copy with the next approved website release. Before public launch, counsel approves final policies and operators verify actual contacts/processes; deployment is separate from a Git merge.</x:v>
      </x:c>
      <x:c r="I27" s="173" t="str">
        <x:v>https://github.com/QK-Connoisseur/PDoki/commit/56cb0adaffa4896aa9d54257b4eecfe18804bb54</x:v>
      </x:c>
      <x:c r="J27" s="174" t="n">
        <x:v>46271.666666666664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740b3e9817450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87" hidden="0" customWidth="1"/>
  </x:cols>
  <x:sheetData>
    <x:row r="1" ht="35" customHeight="1">
      <x:c r="A1" s="184" t="str">
        <x:v>Pumdoki launch budget</x:v>
      </x:c>
      <x:c r="B1" s="179"/>
      <x:c r="C1" s="179"/>
      <x:c r="D1" s="177"/>
    </x:row>
    <x:row r="2" ht="48" customHeight="1">
      <x:c r="A2" s="177" t="str">
        <x:v>September 8, 2026</x:v>
      </x:c>
      <x:c r="B2" s="179"/>
      <x:c r="C2" s="179"/>
      <x:c r="D2" s="177" t="str">
        <x:v>USD. Planning allowances, not quotes or permission to spend. Founder labor is unpaid.</x:v>
      </x:c>
    </x:row>
    <x:row r="3" ht="32" customHeight="1">
      <x:c r="A3" s="177"/>
      <x:c r="B3" s="179"/>
      <x:c r="C3" s="179"/>
      <x:c r="D3" s="177"/>
    </x:row>
    <x:row r="4" ht="32" customHeight="1">
      <x:c r="A4" s="187" t="str">
        <x:v>Funding and cash needs</x:v>
      </x:c>
      <x:c r="B4" s="188" t="str">
        <x:v>Lower case</x:v>
      </x:c>
      <x:c r="C4" s="188" t="str">
        <x:v>Upper case</x:v>
      </x:c>
      <x:c r="D4" s="187" t="str">
        <x:v>Meaning</x:v>
      </x:c>
    </x:row>
    <x:row r="5" ht="32" customHeight="1">
      <x:c r="A5" s="177" t="str">
        <x:v>Available now</x:v>
      </x:c>
      <x:c r="B5" s="190" t="n">
        <x:v>1000</x:v>
      </x:c>
      <x:c r="C5" s="190" t="n">
        <x:v>5000</x:v>
      </x:c>
      <x:c r="D5" s="177" t="str">
        <x:v>Earlier total-cash assumption retained. New user-reported $1,800 monthly ceiling is not lump-sum cash or funded runway; sustainability is unconfirmed.</x:v>
      </x:c>
    </x:row>
    <x:row r="6" ht="32" customHeight="1">
      <x:c r="A6" s="177" t="str">
        <x:v>Possible additional cash</x:v>
      </x:c>
      <x:c r="B6" s="190" t="n">
        <x:v>5000</x:v>
      </x:c>
      <x:c r="C6" s="190" t="n">
        <x:v>5000</x:v>
      </x:c>
      <x:c r="D6" s="177" t="str">
        <x:v>Uncommitted over coming months; excluded from funded cash.</x:v>
      </x:c>
    </x:row>
    <x:row r="7" ht="32" customHeight="1">
      <x:c r="A7" s="177" t="str">
        <x:v>Funded cash</x:v>
      </x:c>
      <x:c r="B7" s="199" t="n">
        <x:f>B5</x:f>
        <x:v>1000</x:v>
      </x:c>
      <x:c r="C7" s="199" t="n">
        <x:f>C5</x:f>
        <x:v>5000</x:v>
      </x:c>
      <x:c r="D7" s="177" t="str">
        <x:v>Uses current cash only.</x:v>
      </x:c>
    </x:row>
    <x:row r="8" ht="48" customHeight="1">
      <x:c r="A8" s="177" t="str">
        <x:v>Setup incl. contingency</x:v>
      </x:c>
      <x:c r="B8" s="199" t="n">
        <x:f>B36</x:f>
        <x:v>8170.8</x:v>
      </x:c>
      <x:c r="C8" s="199" t="n">
        <x:f>C36</x:f>
        <x:v>20469</x:v>
      </x:c>
      <x:c r="D8" s="177" t="str">
        <x:v>Includes discovery, scoped reviews, initial verification and first-year card registration benchmark.</x:v>
      </x:c>
    </x:row>
    <x:row r="9" ht="48" customHeight="1">
      <x:c r="A9" s="177" t="str">
        <x:v>Monthly operating allowance</x:v>
      </x:c>
      <x:c r="B9" s="199" t="n">
        <x:f>B45</x:f>
        <x:v>309</x:v>
      </x:c>
      <x:c r="C9" s="199" t="n">
        <x:f>C45</x:f>
        <x:v>1179</x:v>
      </x:c>
      <x:c r="D9" s="177" t="str">
        <x:v>Small invited pilot; excludes transaction-linked expenses and annual renewals already paid in setup.</x:v>
      </x:c>
    </x:row>
    <x:row r="10" ht="32" customHeight="1">
      <x:c r="A10" s="177" t="str">
        <x:v>Runway months</x:v>
      </x:c>
      <x:c r="B10" s="192" t="n">
        <x:v>3</x:v>
      </x:c>
      <x:c r="C10" s="192" t="n">
        <x:v>3</x:v>
      </x:c>
      <x:c r="D10" s="177" t="str">
        <x:v>Planning input; revenue is not assumed to cover costs.</x:v>
      </x:c>
    </x:row>
    <x:row r="11" ht="32" customHeight="1">
      <x:c r="A11" s="177" t="str">
        <x:v>Operating runway</x:v>
      </x:c>
      <x:c r="B11" s="199" t="n">
        <x:f>B9*B10</x:f>
        <x:v>927</x:v>
      </x:c>
      <x:c r="C11" s="199" t="n">
        <x:f>C9*C10</x:f>
        <x:v>3537</x:v>
      </x:c>
      <x:c r="D11" s="177" t="str">
        <x:v>Monthly allowance × runway months.</x:v>
      </x:c>
    </x:row>
    <x:row r="12" ht="48" customHeight="1">
      <x:c r="A12" s="177" t="str">
        <x:v>Working cash buffer</x:v>
      </x:c>
      <x:c r="B12" s="190" t="n">
        <x:v>1000</x:v>
      </x:c>
      <x:c r="C12" s="190" t="n">
        <x:v>3000</x:v>
      </x:c>
      <x:c r="D12" s="177" t="str">
        <x:v>Ring-fenced cash, not an expense or provider deposit quote. Does not cover an unknown processor reserve.</x:v>
      </x:c>
    </x:row>
    <x:row r="13" ht="48" customHeight="1">
      <x:c r="A13" s="200" t="str">
        <x:v>Baseline cash target</x:v>
      </x:c>
      <x:c r="B13" s="201" t="n">
        <x:f>B8+B11+B12</x:f>
        <x:v>10097.8</x:v>
      </x:c>
      <x:c r="C13" s="201" t="n">
        <x:f>C8+C11+C12</x:f>
        <x:v>27006</x:v>
      </x:c>
      <x:c r="D13" s="200" t="str">
        <x:v>Setup + runway + working cash. Unknown deposits, processing/usage excesses, tax, insurance and professional requirements can raise this.</x:v>
      </x:c>
    </x:row>
    <x:row r="14" ht="32" customHeight="1">
      <x:c r="A14" s="200" t="str">
        <x:v>Gap using current cash</x:v>
      </x:c>
      <x:c r="B14" s="201" t="n">
        <x:f>MAX(0,B13-B7)</x:f>
        <x:v>9097.8</x:v>
      </x:c>
      <x:c r="C14" s="201" t="n">
        <x:f>MAX(0,C13-C7)</x:f>
        <x:v>22006</x:v>
      </x:c>
      <x:c r="D14" s="200" t="str">
        <x:v>Positive amount needs more funding or a lower quoted scope before activation.</x:v>
      </x:c>
    </x:row>
    <x:row r="15" ht="32" customHeight="1">
      <x:c r="A15" s="200" t="str">
        <x:v>Gap if full $10k becomes funded</x:v>
      </x:c>
      <x:c r="B15" s="201" t="n">
        <x:f>MAX(0,B13-$C$5-$C$6)</x:f>
        <x:v>97.79999999999927</x:v>
      </x:c>
      <x:c r="C15" s="201" t="n">
        <x:f>MAX(0,C13-$C$5-$C$6)</x:f>
        <x:v>17006</x:v>
      </x:c>
      <x:c r="D15" s="200" t="str">
        <x:v>Uses maximum current $5,000 + possible $5,000 later. Sensitivity only; additional cash is uncommitted.</x:v>
      </x:c>
    </x:row>
    <x:row r="16" ht="32" customHeight="1">
      <x:c r="A16" s="177"/>
      <x:c r="B16" s="179"/>
      <x:c r="C16" s="179"/>
      <x:c r="D16" s="177"/>
    </x:row>
    <x:row r="17" ht="48" customHeight="1">
      <x:c r="A17" s="177" t="str">
        <x:v>Current: await CCBill response</x:v>
      </x:c>
      <x:c r="B17" s="179"/>
      <x:c r="C17" s="179"/>
      <x:c r="D17" s="177" t="str">
        <x:v>Founder reports Kiban Digital Holdings LLC filed in Maryland and preliminary inquiry sent to CCBill sales. Await state approval and sales response; review what arrives before another founder task.</x:v>
      </x:c>
    </x:row>
    <x:row r="18" ht="64" customHeight="1">
      <x:c r="A18" s="177" t="str">
        <x:v>Low case is not a launch quote</x:v>
      </x:c>
      <x:c r="B18" s="179"/>
      <x:c r="C18" s="179"/>
      <x:c r="D18" s="177" t="str">
        <x:v>Pilot counts remain planning assumptions. Two contacts may help recruit 50–100 creators; no committed cohort or creator/member countries were supplied.</x:v>
      </x:c>
    </x:row>
    <x:row r="19" ht="32" customHeight="1">
      <x:c r="A19" s="177"/>
      <x:c r="B19" s="179"/>
      <x:c r="C19" s="179"/>
      <x:c r="D19" s="177"/>
    </x:row>
    <x:row r="20" ht="32" customHeight="1">
      <x:c r="A20" s="187" t="str">
        <x:v>Setup and review allowances</x:v>
      </x:c>
      <x:c r="B20" s="188" t="str">
        <x:v>Lower case</x:v>
      </x:c>
      <x:c r="C20" s="188" t="str">
        <x:v>Upper case</x:v>
      </x:c>
      <x:c r="D20" s="187" t="str">
        <x:v>When / basis</x:v>
      </x:c>
    </x:row>
    <x:row r="21" ht="48" customHeight="1">
      <x:c r="A21" s="177" t="str">
        <x:v>Targeted legal advice allowance</x:v>
      </x:c>
      <x:c r="B21" s="190" t="n">
        <x:v>300</x:v>
      </x:c>
      <x:c r="C21" s="190" t="n">
        <x:v>800</x:v>
      </x:c>
      <x:c r="D21" s="177" t="str">
        <x:v>Optional scoped advice for unresolved material issues. DIY/Fiverr drafts first where suitable; use a qualified lawyer when needed. Unquoted allowance unchanged; no legal engagement.</x:v>
      </x:c>
    </x:row>
    <x:row r="22" ht="48" customHeight="1">
      <x:c r="A22" s="177" t="str">
        <x:v>Targeted tax / accounting advice</x:v>
      </x:c>
      <x:c r="B22" s="190" t="n">
        <x:v>100</x:v>
      </x:c>
      <x:c r="C22" s="190" t="n">
        <x:v>300</x:v>
      </x:c>
      <x:c r="D22" s="177" t="str">
        <x:v>Use when a specific tax or accounting question needs professional advice. Founder reports LLC filed; state approval pending. Unquoted allowance unchanged.</x:v>
      </x:c>
    </x:row>
    <x:row r="23" ht="48" customHeight="1">
      <x:c r="A23" s="200" t="str">
        <x:v>Initial advice allowances subtotal</x:v>
      </x:c>
      <x:c r="B23" s="201" t="n">
        <x:f>SUM(B21:B22)</x:f>
        <x:v>400</x:v>
      </x:c>
      <x:c r="C23" s="201" t="n">
        <x:f>SUM(C21:C22)</x:f>
        <x:v>1100</x:v>
      </x:c>
      <x:c r="D23" s="200" t="str">
        <x:v>Reserve for necessary questions. This is not a required discovery purchase or a commitment to spend.</x:v>
      </x:c>
    </x:row>
    <x:row r="24" ht="48" customHeight="1">
      <x:c r="A24" s="177" t="str">
        <x:v>Entity, domain and admin setup</x:v>
      </x:c>
      <x:c r="B24" s="190" t="n">
        <x:v>250</x:v>
      </x:c>
      <x:c r="C24" s="190" t="n">
        <x:v>900</x:v>
      </x:c>
      <x:c r="D24" s="177" t="str">
        <x:v>Founder reports Maryland LLC filed through Northwest; state approval pending. Actual invoice and recurring charges not supplied; this allowance is not amount paid.</x:v>
      </x:c>
    </x:row>
    <x:row r="25" ht="48" customHeight="1">
      <x:c r="A25" s="177" t="str">
        <x:v>Legal document drafting / review</x:v>
      </x:c>
      <x:c r="B25" s="190" t="n">
        <x:v>2000</x:v>
      </x:c>
      <x:c r="C25" s="190" t="n">
        <x:v>6000</x:v>
      </x:c>
      <x:c r="D25" s="177" t="str">
        <x:v>Prepare suitable drafts yourself or with Fiverr specialists; qualified adult-platform counsel reviews and corrects necessary final documents/workflows. Unquoted allowance unchanged.</x:v>
      </x:c>
    </x:row>
    <x:row r="26" ht="48" customHeight="1">
      <x:c r="A26" s="177" t="str">
        <x:v>Scoped architecture review</x:v>
      </x:c>
      <x:c r="B26" s="190" t="n">
        <x:v>500</x:v>
      </x:c>
      <x:c r="C26" s="190" t="n">
        <x:v>1500</x:v>
      </x:c>
      <x:c r="D26" s="177" t="str">
        <x:v>Before payments/ledger/entitlement and media designs lock. Experienced backend/security reviewer; findings and remediation guidance.</x:v>
      </x:c>
    </x:row>
    <x:row r="27" ht="48" customHeight="1">
      <x:c r="A27" s="177" t="str">
        <x:v>Integrated security review + retest</x:v>
      </x:c>
      <x:c r="B27" s="190" t="n">
        <x:v>1500</x:v>
      </x:c>
      <x:c r="C27" s="190" t="n">
        <x:v>5000</x:v>
      </x:c>
      <x:c r="D27" s="177" t="str">
        <x:v>Before real users, IDs, creator content or money. Independent scoped assessment of integrated system; quote may exceed allowance.</x:v>
      </x:c>
    </x:row>
    <x:row r="28" ht="48" customHeight="1">
      <x:c r="A28" s="177" t="str">
        <x:v>Visa high-risk annual registration</x:v>
      </x:c>
      <x:c r="B28" s="190" t="n">
        <x:v>950</x:v>
      </x:c>
      <x:c r="C28" s="190" t="n">
        <x:v>950</x:v>
      </x:c>
      <x:c r="D28" s="177" t="str">
        <x:v>CCBill published benchmark, subject to account/region/category confirmation. First year included; renews annually.</x:v>
      </x:c>
    </x:row>
    <x:row r="29" ht="48" customHeight="1">
      <x:c r="A29" s="177" t="str">
        <x:v>Mastercard high-risk annual fee</x:v>
      </x:c>
      <x:c r="B29" s="190" t="n">
        <x:v>1000</x:v>
      </x:c>
      <x:c r="C29" s="190" t="n">
        <x:v>1000</x:v>
      </x:c>
      <x:c r="D29" s="177" t="str">
        <x:v>CCBill US/Canada published benchmark; EU/UK page lists $500. Actual entity and underwriting determine applicability.</x:v>
      </x:c>
    </x:row>
    <x:row r="30" ht="48" customHeight="1">
      <x:c r="A30" s="177" t="str">
        <x:v>Initial creator verification batch</x:v>
      </x:c>
      <x:c r="B30" s="199" t="n">
        <x:f>MAX(B56,B54*B55)</x:f>
        <x:v>99</x:v>
      </x:c>
      <x:c r="C30" s="199" t="n">
        <x:f>MAX(C56,C54*C55)</x:f>
        <x:v>250</x:v>
      </x:c>
      <x:c r="D30" s="177" t="str">
        <x:v>MAX(monthly minimum, invited creators × per-check allowance). Before the three operating months; repeats and extra performers add cost.</x:v>
      </x:c>
    </x:row>
    <x:row r="31" ht="48" customHeight="1">
      <x:c r="A31" s="177" t="str">
        <x:v>Fiverr buyer fee on tech reviews</x:v>
      </x:c>
      <x:c r="B31" s="199" t="n">
        <x:f>SUM(B26:B27)*B57</x:f>
        <x:v>110</x:v>
      </x:c>
      <x:c r="C31" s="199" t="n">
        <x:f>SUM(C26:C27)*C57</x:f>
        <x:v>357.5</x:v>
      </x:c>
      <x:c r="D31" s="177" t="str">
        <x:v>5.5% of the two technical review allowances. No split orders or purchases under $200 assumed; taxes extra.</x:v>
      </x:c>
    </x:row>
    <x:row r="32" ht="48" customHeight="1">
      <x:c r="A32" s="177" t="str">
        <x:v>Incremental setup subtotal</x:v>
      </x:c>
      <x:c r="B32" s="199" t="n">
        <x:f>SUM(B24:B31)</x:f>
        <x:v>6409</x:v>
      </x:c>
      <x:c r="C32" s="199" t="n">
        <x:f>SUM(C24:C31)</x:f>
        <x:v>15957.5</x:v>
      </x:c>
      <x:c r="D32" s="177" t="str">
        <x:v>Excludes discovery subtotal. Professional service figures are allowances only.</x:v>
      </x:c>
    </x:row>
    <x:row r="33" ht="32" customHeight="1">
      <x:c r="A33" s="177" t="str">
        <x:v>Setup before contingency</x:v>
      </x:c>
      <x:c r="B33" s="199" t="n">
        <x:f>B23+B32</x:f>
        <x:v>6809</x:v>
      </x:c>
      <x:c r="C33" s="199" t="n">
        <x:f>C23+C32</x:f>
        <x:v>17057.5</x:v>
      </x:c>
      <x:c r="D33" s="177" t="str">
        <x:v>Discovery + incremental setup.</x:v>
      </x:c>
    </x:row>
    <x:row r="34" ht="48" customHeight="1">
      <x:c r="A34" s="177" t="str">
        <x:v>Contingency rate</x:v>
      </x:c>
      <x:c r="B34" s="194" t="n">
        <x:v>0.2</x:v>
      </x:c>
      <x:c r="C34" s="194" t="n">
        <x:v>0.2</x:v>
      </x:c>
      <x:c r="D34" s="177" t="str">
        <x:v>Planning allowance for scoped remediation and quote variance; not a completeness guarantee.</x:v>
      </x:c>
    </x:row>
    <x:row r="35" ht="32" customHeight="1">
      <x:c r="A35" s="177" t="str">
        <x:v>Contingency amount</x:v>
      </x:c>
      <x:c r="B35" s="199" t="n">
        <x:f>B33*B34</x:f>
        <x:v>1361.8000000000002</x:v>
      </x:c>
      <x:c r="C35" s="199" t="n">
        <x:f>C33*C34</x:f>
        <x:v>3411.5</x:v>
      </x:c>
      <x:c r="D35" s="177"/>
    </x:row>
    <x:row r="36" ht="48" customHeight="1">
      <x:c r="A36" s="200" t="str">
        <x:v>Setup including contingency</x:v>
      </x:c>
      <x:c r="B36" s="201" t="n">
        <x:f>B33+B35</x:f>
        <x:v>8170.8</x:v>
      </x:c>
      <x:c r="C36" s="201" t="n">
        <x:f>C33+C35</x:f>
        <x:v>20469</x:v>
      </x:c>
      <x:c r="D36" s="200" t="str">
        <x:v>Founder coding time, household expenses and existing AI subscriptions excluded.</x:v>
      </x:c>
    </x:row>
    <x:row r="37" ht="32" customHeight="1">
      <x:c r="A37" s="177"/>
      <x:c r="B37" s="179"/>
      <x:c r="C37" s="179"/>
      <x:c r="D37" s="177"/>
    </x:row>
    <x:row r="38" ht="32" customHeight="1">
      <x:c r="A38" s="177"/>
      <x:c r="B38" s="179"/>
      <x:c r="C38" s="179"/>
      <x:c r="D38" s="177"/>
    </x:row>
    <x:row r="39" ht="32" customHeight="1">
      <x:c r="A39" s="187" t="str">
        <x:v>Monthly pilot allowance</x:v>
      </x:c>
      <x:c r="B39" s="188" t="str">
        <x:v>Lower case</x:v>
      </x:c>
      <x:c r="C39" s="188" t="str">
        <x:v>Upper case</x:v>
      </x:c>
      <x:c r="D39" s="187" t="str">
        <x:v>What is included / unresolved</x:v>
      </x:c>
    </x:row>
    <x:row r="40" ht="48" customHeight="1">
      <x:c r="A40" s="177" t="str">
        <x:v>Compute, database, storage, backups</x:v>
      </x:c>
      <x:c r="B40" s="190" t="n">
        <x:v>75</x:v>
      </x:c>
      <x:c r="C40" s="190" t="n">
        <x:v>250</x:v>
      </x:c>
      <x:c r="D40" s="177" t="str">
        <x:v>Planning allowance for small staging/production footprint. No free-tier expiry assumption. Actual service shape and adult-content terms unselected.</x:v>
      </x:c>
    </x:row>
    <x:row r="41" ht="48" customHeight="1">
      <x:c r="A41" s="177" t="str">
        <x:v>Email and monitoring tools</x:v>
      </x:c>
      <x:c r="B41" s="190" t="n">
        <x:v>10</x:v>
      </x:c>
      <x:c r="C41" s="190" t="n">
        <x:v>30</x:v>
      </x:c>
      <x:c r="D41" s="177" t="str">
        <x:v>Allowance only. Choose provider later after business/provider fit and before external auth flows; no provider selected.</x:v>
      </x:c>
    </x:row>
    <x:row r="42" ht="48" customHeight="1">
      <x:c r="A42" s="177" t="str">
        <x:v>Bookkeeping / annual admin provision</x:v>
      </x:c>
      <x:c r="B42" s="190" t="n">
        <x:v>25</x:v>
      </x:c>
      <x:c r="C42" s="190" t="n">
        <x:v>150</x:v>
      </x:c>
      <x:c r="D42" s="177" t="str">
        <x:v>Cash planning for records, filings and later tax advice; actual taxes and insurance are unpriced.</x:v>
      </x:c>
    </x:row>
    <x:row r="43" ht="48" customHeight="1">
      <x:c r="A43" s="177" t="str">
        <x:v>Identity provider monthly minimum</x:v>
      </x:c>
      <x:c r="B43" s="190" t="n">
        <x:v>99</x:v>
      </x:c>
      <x:c r="C43" s="190" t="n">
        <x:v>149</x:v>
      </x:c>
      <x:c r="D43" s="177" t="str">
        <x:v>Benchmark only, not provider selection. Additional member age checks, new creators, rechecks and retention add variable cost.</x:v>
      </x:c>
    </x:row>
    <x:row r="44" ht="48" customHeight="1">
      <x:c r="A44" s="177" t="str">
        <x:v>Paid moderation / support backup</x:v>
      </x:c>
      <x:c r="B44" s="190" t="n">
        <x:v>100</x:v>
      </x:c>
      <x:c r="C44" s="190" t="n">
        <x:v>600</x:v>
      </x:c>
      <x:c r="D44" s="177" t="str">
        <x:v>Proposed Discord recruiter/helper: $300–$400/month. Inclusion in $1,800 ceiling and overlap with this $100–$600 backup allowance are unconfirmed; no amount added. Scope/coverage remain unverified.</x:v>
      </x:c>
    </x:row>
    <x:row r="45" ht="48" customHeight="1">
      <x:c r="A45" s="200" t="str">
        <x:v>Monthly operating allowance</x:v>
      </x:c>
      <x:c r="B45" s="201" t="n">
        <x:f>SUM(B40:B44)</x:f>
        <x:v>309</x:v>
      </x:c>
      <x:c r="C45" s="201" t="n">
        <x:f>SUM(C40:C44)</x:f>
        <x:v>1179</x:v>
      </x:c>
      <x:c r="D45" s="200" t="str">
        <x:v>Beyond pilot volume or founder capacity, replace with a staffing and usage quote before expanding.</x:v>
      </x:c>
    </x:row>
    <x:row r="46" ht="32" customHeight="1">
      <x:c r="A46" s="177"/>
      <x:c r="B46" s="179"/>
      <x:c r="C46" s="179"/>
      <x:c r="D46" s="177"/>
    </x:row>
    <x:row r="47" ht="48" customHeight="1">
      <x:c r="A47" s="177" t="str">
        <x:v>Annual card renewal after year one</x:v>
      </x:c>
      <x:c r="B47" s="199" t="n">
        <x:f>SUM(B28:B29)</x:f>
        <x:v>1950</x:v>
      </x:c>
      <x:c r="C47" s="199" t="n">
        <x:f>SUM(C28:C29)</x:f>
        <x:v>1950</x:v>
      </x:c>
      <x:c r="D47" s="177" t="str">
        <x:v>Already included in first-year setup; reserve for later renewal separately as dates become known.</x:v>
      </x:c>
    </x:row>
    <x:row r="48" ht="32" customHeight="1">
      <x:c r="A48" s="177"/>
      <x:c r="B48" s="179"/>
      <x:c r="C48" s="179"/>
      <x:c r="D48" s="177"/>
    </x:row>
    <x:row r="49" ht="64" customHeight="1">
      <x:c r="A49" s="177" t="str">
        <x:v>Variable cost and cash obligations</x:v>
      </x:c>
      <x:c r="B49" s="179"/>
      <x:c r="C49" s="179"/>
      <x:c r="D49" s="177" t="str">
        <x:v>Processor rate, fixed fees, refunds, chargebacks, payout/FX fees, member age checks, media processing/moderation and usage excesses: request quotes; no zero-cost assumption.</x:v>
      </x:c>
    </x:row>
    <x:row r="50" ht="64" customHeight="1">
      <x:c r="A50" s="177" t="str">
        <x:v>Processor hold / deposit</x:v>
      </x:c>
      <x:c r="B50" s="179"/>
      <x:c r="C50" s="179"/>
      <x:c r="D50" s="177" t="str">
        <x:v>Unknown and excluded from target. A hold delays usable cash; a deposit ties up cash. Neither is ordinary spend unless lost or charged. Obtain amount, duration and release terms.</x:v>
      </x:c>
    </x:row>
    <x:row r="51" ht="64" customHeight="1">
      <x:c r="A51" s="177" t="str">
        <x:v>Founding creator offer</x:v>
      </x:c>
      <x:c r="B51" s="179"/>
      <x:c r="C51" s="179"/>
      <x:c r="D51" s="177" t="str">
        <x:v>Founder correction: recover attributable costs without profit on founding creator sales. Processing-fees-only is superseded. Duration, cost allocation and no-loss economics are unproven; Plus revenue excluded.</x:v>
      </x:c>
    </x:row>
    <x:row r="52" ht="32" customHeight="1">
      <x:c r="A52" s="177"/>
      <x:c r="B52" s="179"/>
      <x:c r="C52" s="179"/>
      <x:c r="D52" s="177"/>
    </x:row>
    <x:row r="53" ht="32" customHeight="1">
      <x:c r="A53" s="187" t="str">
        <x:v>Volume and fee inputs</x:v>
      </x:c>
      <x:c r="B53" s="188" t="str">
        <x:v>Lower case</x:v>
      </x:c>
      <x:c r="C53" s="188" t="str">
        <x:v>Upper case</x:v>
      </x:c>
      <x:c r="D53" s="187" t="str">
        <x:v>Source / interpretation</x:v>
      </x:c>
    </x:row>
    <x:row r="54" ht="48" customHeight="1">
      <x:c r="A54" s="177" t="str">
        <x:v>Invited creator count</x:v>
      </x:c>
      <x:c r="B54" s="192" t="n">
        <x:v>25</x:v>
      </x:c>
      <x:c r="C54" s="192" t="n">
        <x:v>100</x:v>
      </x:c>
      <x:c r="D54" s="177" t="str">
        <x:v>Unchanged planning counts. Two contacts could recruit 50–100 prospects, not commitments; ~500 remains the longer target.</x:v>
      </x:c>
    </x:row>
    <x:row r="55" ht="64" customHeight="1">
      <x:c r="A55" s="177" t="str">
        <x:v>Initial check unit allowance</x:v>
      </x:c>
      <x:c r="B55" s="196" t="n">
        <x:v>1.39</x:v>
      </x:c>
      <x:c r="C55" s="196" t="n">
        <x:v>2.5</x:v>
      </x:c>
      <x:c r="D55" s="177" t="str">
        <x:v>Veriff Plus public benchmark $1.39; upper allowance includes pricing uncertainty. Neither establishes adult-platform suitability or required checks.</x:v>
      </x:c>
    </x:row>
    <x:row r="56" ht="64" customHeight="1">
      <x:c r="A56" s="177" t="str">
        <x:v>Initial minimum commitment</x:v>
      </x:c>
      <x:c r="B56" s="190" t="n">
        <x:v>99</x:v>
      </x:c>
      <x:c r="C56" s="190" t="n">
        <x:v>149</x:v>
      </x:c>
      <x:c r="D56" s="177" t="str">
        <x:v>Veriff published Plus/Premium benchmarks. Terms and required plan must be confirmed; creator ID is not member age assurance.</x:v>
      </x:c>
    </x:row>
    <x:row r="57" ht="64" customHeight="1">
      <x:c r="A57" s="177" t="str">
        <x:v>Fiverr buyer service fee</x:v>
      </x:c>
      <x:c r="B57" s="198" t="n">
        <x:v>0.055</x:v>
      </x:c>
      <x:c r="C57" s="198" t="n">
        <x:v>0.055</x:v>
      </x:c>
      <x:c r="D57" s="177" t="str">
        <x:v>Official standard buyer fee. Additional $3.50 on an order under $200; taxes and currency conversion may apply.</x:v>
      </x:c>
    </x:row>
    <x:row r="58" ht="32" customHeight="1">
      <x:c r="A58" s="177"/>
      <x:c r="B58" s="179"/>
      <x:c r="C58" s="179"/>
      <x:c r="D58" s="177"/>
    </x:row>
    <x:row r="59" ht="32" customHeight="1">
      <x:c r="A59" s="187" t="str">
        <x:v>Sources checked September 6, 2026</x:v>
      </x:c>
      <x:c r="B59" s="188"/>
      <x:c r="C59" s="188"/>
      <x:c r="D59" s="187"/>
    </x:row>
    <x:row r="60" ht="48" customHeight="1">
      <x:c r="A60" s="177" t="str">
        <x:v>CCBill card registration</x:v>
      </x:c>
      <x:c r="B60" s="179"/>
      <x:c r="C60" s="179"/>
      <x:c r="D60" s="177" t="str">
        <x:v>https://ccbill.com/doc/risk-difference-between-low-risk-and-high-risk-accounts</x:v>
      </x:c>
    </x:row>
    <x:row r="61" ht="48" customHeight="1">
      <x:c r="A61" s="177" t="str">
        <x:v>CCBill pricing / underwriting</x:v>
      </x:c>
      <x:c r="B61" s="179"/>
      <x:c r="C61" s="179"/>
      <x:c r="D61" s="177" t="str">
        <x:v>https://ccbill.com/pricing</x:v>
      </x:c>
    </x:row>
    <x:row r="62" ht="48" customHeight="1">
      <x:c r="A62" s="177" t="str">
        <x:v>Fiverr buyer fees</x:v>
      </x:c>
      <x:c r="B62" s="179"/>
      <x:c r="C62" s="179"/>
      <x:c r="D62" s="177" t="str">
        <x:v>https://help.fiverr.com/hc/en-us/articles/37553933600657-Paying-for-orders-extras-or-custom-offers</x:v>
      </x:c>
    </x:row>
    <x:row r="63" ht="48" customHeight="1">
      <x:c r="A63" s="177" t="str">
        <x:v>Identity price benchmark</x:v>
      </x:c>
      <x:c r="B63" s="179"/>
      <x:c r="C63" s="179"/>
      <x:c r="D63" s="177" t="str">
        <x:v>https://www.veriff.com/plans/self-serve</x:v>
      </x:c>
    </x:row>
    <x:row r="64" ht="48" customHeight="1">
      <x:c r="A64" s="177" t="str">
        <x:v>Storage price benchmark</x:v>
      </x:c>
      <x:c r="B64" s="179"/>
      <x:c r="C64" s="179"/>
      <x:c r="D64" s="177" t="str">
        <x:v>https://developers.cloudflare.com/r2/pricing/</x:v>
      </x:c>
    </x:row>
    <x:row r="65" ht="48" customHeight="1">
      <x:c r="A65" s="177" t="str">
        <x:v>Compute price reference</x:v>
      </x:c>
      <x:c r="B65" s="179"/>
      <x:c r="C65" s="179"/>
      <x:c r="D65" s="177" t="str">
        <x:v>https://aws.amazon.com/lightsail/pricing/</x:v>
      </x:c>
    </x:row>
    <x:row r="66" ht="64" customHeight="1">
      <x:c r="A66" s="177" t="str">
        <x:v>Professional / operating allowances</x:v>
      </x:c>
      <x:c r="B66" s="179"/>
      <x:c r="C66" s="179"/>
      <x:c r="D66" s="177" t="str">
        <x:v>Planning allowances remain unquoted. Founder answers reviewed September 6, 2026 in initial-business-definition.md; new funding/helper statements are notes only, not formula changes.</x:v>
      </x:c>
    </x:row>
    <x:row r="67" ht="64" customHeight="1">
      <x:c r="A67" s="177" t="str">
        <x:v>Historic arithmetic</x:v>
      </x:c>
      <x:c r="B67" s="179"/>
      <x:c r="C67" s="179"/>
      <x:c r="D67" s="177" t="str">
        <x:v>Expense Tracker: 1,980 + 170 + 18 × 12 = 2,366. Old displayed total 1,713 preserved; those historical assumptions are not the current budget.</x:v>
      </x:c>
    </x:row>
    <x:row r="68" ht="64" customHeight="1">
      <x:c r="A68" s="177" t="str">
        <x:v>Keep spending sequential</x:v>
      </x:c>
      <x:c r="B68" s="179"/>
      <x:c r="C68" s="179"/>
      <x:c r="D68" s="177" t="str">
        <x:v>Current: wait for Maryland approval and CCBill sales response, then review the response. DIY/Fiverr and targeted qualified review remain the approach. Costs/formulas unchanged; actual filing expense unknown.</x:v>
      </x:c>
    </x:row>
    <x:row r="69" ht="32" customHeight="1">
      <x:c r="A69" s="177"/>
      <x:c r="B69" s="179"/>
      <x:c r="C69" s="179"/>
      <x:c r="D69" s="177"/>
    </x:row>
    <x:row r="70" ht="32" customHeight="1">
      <x:c r="A70" s="177"/>
      <x:c r="B70" s="179"/>
      <x:c r="C70" s="179"/>
      <x:c r="D70" s="177"/>
    </x:row>
    <x:row r="71" ht="32" customHeight="1">
      <x:c r="A71" s="177"/>
      <x:c r="B71" s="179"/>
      <x:c r="C71" s="179"/>
      <x:c r="D71" s="177"/>
    </x:row>
    <x:row r="72" ht="32" customHeight="1">
      <x:c r="A72" s="177"/>
      <x:c r="B72" s="179"/>
      <x:c r="C72" s="179"/>
      <x:c r="D72" s="177"/>
    </x:row>
    <x:row r="73" ht="32" customHeight="1">
      <x:c r="A73" s="177"/>
      <x:c r="B73" s="179"/>
      <x:c r="C73" s="179"/>
      <x:c r="D73" s="177"/>
    </x:row>
    <x:row r="74" ht="32" customHeight="1">
      <x:c r="A74" s="177"/>
      <x:c r="B74" s="179"/>
      <x:c r="C74" s="179"/>
      <x:c r="D74" s="177"/>
    </x:row>
    <x:row r="75" ht="32" customHeight="1">
      <x:c r="A75" s="177"/>
      <x:c r="B75" s="179"/>
      <x:c r="C75" s="179"/>
      <x:c r="D75" s="177"/>
    </x:row>
  </x:sheetData>
  <x:pageMargins left="0.7" right="0.7" top="0.75" bottom="0.75" header="0.3" footer="0.3"/>
</x:worksheet>
</file>